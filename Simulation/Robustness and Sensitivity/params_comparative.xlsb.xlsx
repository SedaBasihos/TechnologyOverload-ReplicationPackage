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edab\OneDrive\Belgeler\CAMBRIDGE\POSTDOC2\Blue Screen of Death_ Data and Codes_ Seda Basihos\Calibration\Robustness and Sensitivity\"/>
    </mc:Choice>
  </mc:AlternateContent>
  <xr:revisionPtr revIDLastSave="0" documentId="13_ncr:2001_{3EC94B4A-1DFD-4CAA-8DB9-8E8FBA21A8C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ock_L" sheetId="9" r:id="rId1"/>
    <sheet name="shock_L_theta" sheetId="7" r:id="rId2"/>
    <sheet name="shock_L_psi" sheetId="8" r:id="rId3"/>
    <sheet name="shock_delta" sheetId="10" r:id="rId4"/>
    <sheet name="MATLAB_data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5" l="1"/>
  <c r="C11" i="5"/>
  <c r="A4" i="5"/>
  <c r="H10" i="10"/>
  <c r="G10" i="10"/>
  <c r="F10" i="10"/>
  <c r="H10" i="8"/>
  <c r="G10" i="8"/>
  <c r="F10" i="8"/>
  <c r="H10" i="7"/>
  <c r="G10" i="7"/>
  <c r="F10" i="7"/>
  <c r="G10" i="9"/>
  <c r="H10" i="9"/>
  <c r="F10" i="9"/>
  <c r="F15" i="9"/>
  <c r="K6" i="9"/>
  <c r="C4" i="9"/>
  <c r="C10" i="9"/>
  <c r="K29" i="10" l="1"/>
  <c r="K19" i="10"/>
  <c r="K9" i="10"/>
  <c r="K29" i="8"/>
  <c r="K19" i="8"/>
  <c r="K9" i="8"/>
  <c r="K29" i="7"/>
  <c r="K19" i="7"/>
  <c r="K9" i="7"/>
  <c r="K29" i="9"/>
  <c r="K19" i="9"/>
  <c r="K9" i="9"/>
  <c r="F19" i="9"/>
  <c r="K3" i="9"/>
  <c r="F14" i="10"/>
  <c r="F21" i="10"/>
  <c r="F21" i="7"/>
  <c r="G19" i="7"/>
  <c r="G18" i="7"/>
  <c r="F19" i="7"/>
  <c r="K13" i="10"/>
  <c r="K3" i="10"/>
  <c r="H21" i="10"/>
  <c r="G21" i="10"/>
  <c r="H18" i="10"/>
  <c r="G18" i="10"/>
  <c r="F18" i="10"/>
  <c r="H17" i="10"/>
  <c r="G17" i="10"/>
  <c r="F17" i="10"/>
  <c r="H16" i="10"/>
  <c r="H22" i="10" s="1"/>
  <c r="G16" i="10"/>
  <c r="G22" i="10" s="1"/>
  <c r="F16" i="10"/>
  <c r="F22" i="10" s="1"/>
  <c r="H15" i="10"/>
  <c r="G15" i="10"/>
  <c r="F15" i="10"/>
  <c r="H14" i="10"/>
  <c r="G14" i="10"/>
  <c r="H19" i="10"/>
  <c r="F14" i="9"/>
  <c r="K28" i="10"/>
  <c r="K27" i="10"/>
  <c r="K26" i="10"/>
  <c r="K25" i="10"/>
  <c r="K24" i="10"/>
  <c r="K23" i="10"/>
  <c r="K18" i="10"/>
  <c r="K17" i="10"/>
  <c r="K16" i="10"/>
  <c r="K15" i="10"/>
  <c r="K14" i="10"/>
  <c r="K8" i="10"/>
  <c r="K7" i="10"/>
  <c r="K6" i="10"/>
  <c r="K5" i="10"/>
  <c r="K4" i="10"/>
  <c r="K28" i="9"/>
  <c r="K27" i="9"/>
  <c r="K26" i="9"/>
  <c r="K25" i="9"/>
  <c r="K24" i="9"/>
  <c r="K23" i="9"/>
  <c r="K18" i="9"/>
  <c r="K17" i="9"/>
  <c r="K16" i="9"/>
  <c r="H21" i="9"/>
  <c r="G21" i="9"/>
  <c r="F21" i="9"/>
  <c r="K15" i="9"/>
  <c r="K14" i="9"/>
  <c r="K13" i="9"/>
  <c r="H18" i="9"/>
  <c r="G18" i="9"/>
  <c r="F18" i="9"/>
  <c r="H17" i="9"/>
  <c r="G17" i="9"/>
  <c r="F17" i="9"/>
  <c r="H16" i="9"/>
  <c r="H22" i="9" s="1"/>
  <c r="G16" i="9"/>
  <c r="G22" i="9" s="1"/>
  <c r="F16" i="9"/>
  <c r="F22" i="9" s="1"/>
  <c r="H15" i="9"/>
  <c r="G15" i="9"/>
  <c r="H14" i="9"/>
  <c r="G14" i="9"/>
  <c r="K8" i="9"/>
  <c r="K7" i="9"/>
  <c r="K5" i="9"/>
  <c r="K4" i="9"/>
  <c r="K28" i="8"/>
  <c r="K27" i="8"/>
  <c r="K26" i="8"/>
  <c r="K25" i="8"/>
  <c r="K24" i="8"/>
  <c r="K23" i="8"/>
  <c r="K18" i="8"/>
  <c r="K17" i="8"/>
  <c r="K16" i="8"/>
  <c r="H21" i="8"/>
  <c r="G21" i="8"/>
  <c r="F21" i="8"/>
  <c r="K15" i="8"/>
  <c r="K14" i="8"/>
  <c r="K13" i="8"/>
  <c r="H18" i="8"/>
  <c r="G18" i="8"/>
  <c r="F18" i="8"/>
  <c r="H17" i="8"/>
  <c r="G17" i="8"/>
  <c r="F17" i="8"/>
  <c r="H16" i="8"/>
  <c r="H22" i="8" s="1"/>
  <c r="G16" i="8"/>
  <c r="G22" i="8" s="1"/>
  <c r="F16" i="8"/>
  <c r="F22" i="8" s="1"/>
  <c r="H15" i="8"/>
  <c r="G15" i="8"/>
  <c r="F15" i="8"/>
  <c r="H14" i="8"/>
  <c r="G14" i="8"/>
  <c r="F14" i="8"/>
  <c r="G19" i="8"/>
  <c r="K8" i="8"/>
  <c r="K7" i="8"/>
  <c r="K6" i="8"/>
  <c r="K5" i="8"/>
  <c r="K4" i="8"/>
  <c r="K3" i="8"/>
  <c r="F17" i="7"/>
  <c r="F14" i="7"/>
  <c r="K8" i="7"/>
  <c r="K7" i="7"/>
  <c r="K6" i="7"/>
  <c r="K5" i="7"/>
  <c r="K4" i="7"/>
  <c r="K3" i="7"/>
  <c r="K28" i="7"/>
  <c r="K27" i="7"/>
  <c r="K26" i="7"/>
  <c r="K25" i="7"/>
  <c r="K24" i="7"/>
  <c r="K23" i="7"/>
  <c r="K18" i="7"/>
  <c r="K17" i="7"/>
  <c r="K16" i="7"/>
  <c r="H21" i="7"/>
  <c r="G21" i="7"/>
  <c r="K15" i="7"/>
  <c r="K14" i="7"/>
  <c r="K13" i="7"/>
  <c r="H18" i="7"/>
  <c r="F18" i="7"/>
  <c r="H17" i="7"/>
  <c r="G17" i="7"/>
  <c r="H16" i="7"/>
  <c r="H22" i="7" s="1"/>
  <c r="G16" i="7"/>
  <c r="G22" i="7" s="1"/>
  <c r="F16" i="7"/>
  <c r="F22" i="7" s="1"/>
  <c r="H15" i="7"/>
  <c r="G15" i="7"/>
  <c r="F15" i="7"/>
  <c r="H14" i="7"/>
  <c r="G14" i="7"/>
  <c r="L6" i="9" l="1"/>
  <c r="C6" i="5" s="1"/>
  <c r="L7" i="9"/>
  <c r="C7" i="5" s="1"/>
  <c r="C15" i="5" s="1"/>
  <c r="L19" i="9"/>
  <c r="D9" i="5" s="1"/>
  <c r="D17" i="5" s="1"/>
  <c r="L29" i="10"/>
  <c r="AO9" i="5" s="1"/>
  <c r="AO17" i="5" s="1"/>
  <c r="L19" i="10"/>
  <c r="AN9" i="5" s="1"/>
  <c r="AN17" i="5" s="1"/>
  <c r="L9" i="10"/>
  <c r="AM9" i="5" s="1"/>
  <c r="AM17" i="5" s="1"/>
  <c r="L9" i="8"/>
  <c r="AA9" i="5" s="1"/>
  <c r="AA17" i="5" s="1"/>
  <c r="L19" i="8"/>
  <c r="AB9" i="5" s="1"/>
  <c r="AB17" i="5" s="1"/>
  <c r="L29" i="8"/>
  <c r="AC9" i="5" s="1"/>
  <c r="AC17" i="5" s="1"/>
  <c r="L29" i="7"/>
  <c r="Q9" i="5" s="1"/>
  <c r="Q17" i="5" s="1"/>
  <c r="L29" i="9"/>
  <c r="E9" i="5" s="1"/>
  <c r="E17" i="5" s="1"/>
  <c r="L9" i="9"/>
  <c r="C9" i="5" s="1"/>
  <c r="C17" i="5" s="1"/>
  <c r="L19" i="7"/>
  <c r="P9" i="5" s="1"/>
  <c r="P17" i="5" s="1"/>
  <c r="L9" i="7"/>
  <c r="O9" i="5" s="1"/>
  <c r="O17" i="5" s="1"/>
  <c r="M29" i="8"/>
  <c r="O19" i="8"/>
  <c r="AH9" i="5" s="1"/>
  <c r="AH17" i="5" s="1"/>
  <c r="L3" i="7"/>
  <c r="O3" i="5" s="1"/>
  <c r="O11" i="5" s="1"/>
  <c r="G19" i="9"/>
  <c r="F20" i="10"/>
  <c r="L3" i="10"/>
  <c r="AM3" i="5" s="1"/>
  <c r="AM11" i="5" s="1"/>
  <c r="G20" i="10"/>
  <c r="G20" i="7"/>
  <c r="L3" i="9"/>
  <c r="L14" i="10"/>
  <c r="L13" i="10"/>
  <c r="AN3" i="5" s="1"/>
  <c r="AN11" i="5" s="1"/>
  <c r="H20" i="8"/>
  <c r="L3" i="8"/>
  <c r="L4" i="8"/>
  <c r="F20" i="8"/>
  <c r="M9" i="8" s="1"/>
  <c r="L4" i="7"/>
  <c r="L5" i="7"/>
  <c r="H20" i="7"/>
  <c r="L6" i="7"/>
  <c r="L8" i="7"/>
  <c r="F20" i="7"/>
  <c r="L7" i="7"/>
  <c r="L4" i="10"/>
  <c r="L6" i="10"/>
  <c r="L7" i="10"/>
  <c r="L8" i="10"/>
  <c r="H20" i="10"/>
  <c r="L26" i="10"/>
  <c r="F19" i="10"/>
  <c r="G19" i="10"/>
  <c r="G20" i="9"/>
  <c r="L5" i="10"/>
  <c r="L15" i="10"/>
  <c r="L18" i="10"/>
  <c r="L25" i="10"/>
  <c r="L16" i="10"/>
  <c r="L17" i="10"/>
  <c r="AN7" i="5" s="1"/>
  <c r="AN15" i="5" s="1"/>
  <c r="L24" i="10"/>
  <c r="L28" i="10"/>
  <c r="L23" i="10"/>
  <c r="AO3" i="5" s="1"/>
  <c r="AO11" i="5" s="1"/>
  <c r="L27" i="10"/>
  <c r="AO7" i="5" s="1"/>
  <c r="AO15" i="5" s="1"/>
  <c r="H20" i="9"/>
  <c r="L15" i="9"/>
  <c r="D5" i="5" s="1"/>
  <c r="F20" i="9"/>
  <c r="L5" i="9"/>
  <c r="C5" i="5" s="1"/>
  <c r="H19" i="9"/>
  <c r="L13" i="9"/>
  <c r="L26" i="9"/>
  <c r="E6" i="5" s="1"/>
  <c r="L14" i="9"/>
  <c r="D4" i="5" s="1"/>
  <c r="L18" i="9"/>
  <c r="L25" i="9"/>
  <c r="E5" i="5" s="1"/>
  <c r="L16" i="9"/>
  <c r="D6" i="5" s="1"/>
  <c r="L4" i="9"/>
  <c r="C4" i="5" s="1"/>
  <c r="L8" i="9"/>
  <c r="C8" i="5" s="1"/>
  <c r="L17" i="9"/>
  <c r="D7" i="5" s="1"/>
  <c r="L24" i="9"/>
  <c r="L28" i="9"/>
  <c r="L23" i="9"/>
  <c r="L27" i="9"/>
  <c r="G20" i="8"/>
  <c r="M19" i="8" s="1"/>
  <c r="L13" i="8"/>
  <c r="L6" i="8"/>
  <c r="M6" i="8" s="1"/>
  <c r="N6" i="8" s="1"/>
  <c r="AD6" i="5" s="1"/>
  <c r="AD14" i="5" s="1"/>
  <c r="L7" i="8"/>
  <c r="H19" i="8"/>
  <c r="L26" i="8"/>
  <c r="L14" i="8"/>
  <c r="L5" i="8"/>
  <c r="L15" i="8"/>
  <c r="L18" i="8"/>
  <c r="L25" i="8"/>
  <c r="L16" i="8"/>
  <c r="L8" i="8"/>
  <c r="L17" i="8"/>
  <c r="L24" i="8"/>
  <c r="L28" i="8"/>
  <c r="F19" i="8"/>
  <c r="L23" i="8"/>
  <c r="AC3" i="5" s="1"/>
  <c r="AC11" i="5" s="1"/>
  <c r="L27" i="8"/>
  <c r="AC7" i="5" s="1"/>
  <c r="AC15" i="5" s="1"/>
  <c r="L13" i="7"/>
  <c r="L26" i="7"/>
  <c r="L14" i="7"/>
  <c r="L15" i="7"/>
  <c r="L18" i="7"/>
  <c r="L25" i="7"/>
  <c r="L16" i="7"/>
  <c r="H19" i="7"/>
  <c r="L17" i="7"/>
  <c r="L24" i="7"/>
  <c r="L28" i="7"/>
  <c r="L23" i="7"/>
  <c r="L27" i="7"/>
  <c r="M9" i="10" l="1"/>
  <c r="O9" i="10"/>
  <c r="AS9" i="5" s="1"/>
  <c r="AS17" i="5" s="1"/>
  <c r="M19" i="10"/>
  <c r="O19" i="10"/>
  <c r="AT9" i="5" s="1"/>
  <c r="AT17" i="5" s="1"/>
  <c r="M29" i="7"/>
  <c r="N29" i="7" s="1"/>
  <c r="T9" i="5" s="1"/>
  <c r="T17" i="5" s="1"/>
  <c r="O29" i="7"/>
  <c r="W9" i="5" s="1"/>
  <c r="W17" i="5" s="1"/>
  <c r="M19" i="7"/>
  <c r="O9" i="8"/>
  <c r="AG9" i="5" s="1"/>
  <c r="AG17" i="5" s="1"/>
  <c r="O29" i="8"/>
  <c r="AI9" i="5" s="1"/>
  <c r="AI17" i="5" s="1"/>
  <c r="O9" i="9"/>
  <c r="I9" i="5" s="1"/>
  <c r="I17" i="5" s="1"/>
  <c r="O29" i="9"/>
  <c r="K9" i="5" s="1"/>
  <c r="K17" i="5" s="1"/>
  <c r="M29" i="9"/>
  <c r="N29" i="9" s="1"/>
  <c r="H9" i="5" s="1"/>
  <c r="H17" i="5" s="1"/>
  <c r="M9" i="9"/>
  <c r="P9" i="9" s="1"/>
  <c r="L9" i="5" s="1"/>
  <c r="L17" i="5" s="1"/>
  <c r="M19" i="9"/>
  <c r="P19" i="9" s="1"/>
  <c r="M9" i="5" s="1"/>
  <c r="M17" i="5" s="1"/>
  <c r="O19" i="9"/>
  <c r="J9" i="5" s="1"/>
  <c r="J17" i="5" s="1"/>
  <c r="M29" i="10"/>
  <c r="P29" i="10" s="1"/>
  <c r="AX9" i="5" s="1"/>
  <c r="AX17" i="5" s="1"/>
  <c r="O29" i="10"/>
  <c r="AU9" i="5" s="1"/>
  <c r="AU17" i="5" s="1"/>
  <c r="M3" i="8"/>
  <c r="N3" i="8" s="1"/>
  <c r="AD3" i="5" s="1"/>
  <c r="AD11" i="5" s="1"/>
  <c r="O19" i="7"/>
  <c r="V9" i="5" s="1"/>
  <c r="V17" i="5" s="1"/>
  <c r="M9" i="7"/>
  <c r="N9" i="7" s="1"/>
  <c r="R9" i="5" s="1"/>
  <c r="R17" i="5" s="1"/>
  <c r="O9" i="7"/>
  <c r="U9" i="5" s="1"/>
  <c r="U17" i="5" s="1"/>
  <c r="N29" i="10"/>
  <c r="AR9" i="5" s="1"/>
  <c r="AR17" i="5" s="1"/>
  <c r="N19" i="10"/>
  <c r="AQ9" i="5" s="1"/>
  <c r="AQ17" i="5" s="1"/>
  <c r="P19" i="10"/>
  <c r="AW9" i="5" s="1"/>
  <c r="AW17" i="5" s="1"/>
  <c r="N9" i="10"/>
  <c r="AP9" i="5" s="1"/>
  <c r="AP17" i="5" s="1"/>
  <c r="P9" i="10"/>
  <c r="AV9" i="5" s="1"/>
  <c r="AV17" i="5" s="1"/>
  <c r="N29" i="8"/>
  <c r="AF9" i="5" s="1"/>
  <c r="AF17" i="5" s="1"/>
  <c r="P29" i="8"/>
  <c r="AL9" i="5" s="1"/>
  <c r="AL17" i="5" s="1"/>
  <c r="N19" i="8"/>
  <c r="AE9" i="5" s="1"/>
  <c r="AE17" i="5" s="1"/>
  <c r="P19" i="8"/>
  <c r="AK9" i="5" s="1"/>
  <c r="AK17" i="5" s="1"/>
  <c r="N9" i="8"/>
  <c r="AD9" i="5" s="1"/>
  <c r="AD17" i="5" s="1"/>
  <c r="P9" i="8"/>
  <c r="AJ9" i="5" s="1"/>
  <c r="AJ17" i="5" s="1"/>
  <c r="N19" i="7"/>
  <c r="S9" i="5" s="1"/>
  <c r="S17" i="5" s="1"/>
  <c r="P19" i="7"/>
  <c r="Y9" i="5" s="1"/>
  <c r="Y17" i="5" s="1"/>
  <c r="O3" i="7"/>
  <c r="U3" i="5" s="1"/>
  <c r="U11" i="5" s="1"/>
  <c r="E4" i="5"/>
  <c r="E12" i="5" s="1"/>
  <c r="E8" i="5"/>
  <c r="E16" i="5" s="1"/>
  <c r="D3" i="5"/>
  <c r="D11" i="5" s="1"/>
  <c r="E7" i="5"/>
  <c r="E15" i="5" s="1"/>
  <c r="E3" i="5"/>
  <c r="E11" i="5" s="1"/>
  <c r="D8" i="5"/>
  <c r="D16" i="5" s="1"/>
  <c r="C3" i="5"/>
  <c r="O3" i="9"/>
  <c r="I3" i="5" s="1"/>
  <c r="I11" i="5" s="1"/>
  <c r="O25" i="10"/>
  <c r="AU5" i="5" s="1"/>
  <c r="AU13" i="5" s="1"/>
  <c r="AO5" i="5"/>
  <c r="AO13" i="5" s="1"/>
  <c r="O28" i="10"/>
  <c r="AU8" i="5" s="1"/>
  <c r="AU16" i="5" s="1"/>
  <c r="AO8" i="5"/>
  <c r="AO16" i="5" s="1"/>
  <c r="O24" i="10"/>
  <c r="AU4" i="5" s="1"/>
  <c r="AU12" i="5" s="1"/>
  <c r="AO4" i="5"/>
  <c r="AO12" i="5" s="1"/>
  <c r="O26" i="10"/>
  <c r="AU6" i="5" s="1"/>
  <c r="AU14" i="5" s="1"/>
  <c r="AO6" i="5"/>
  <c r="AO14" i="5" s="1"/>
  <c r="M3" i="10"/>
  <c r="N3" i="10" s="1"/>
  <c r="AP3" i="5" s="1"/>
  <c r="AP11" i="5" s="1"/>
  <c r="O3" i="10"/>
  <c r="AS3" i="5" s="1"/>
  <c r="AS11" i="5" s="1"/>
  <c r="O7" i="10"/>
  <c r="AS7" i="5" s="1"/>
  <c r="AS15" i="5" s="1"/>
  <c r="AM7" i="5"/>
  <c r="AM15" i="5" s="1"/>
  <c r="O8" i="10"/>
  <c r="AS8" i="5" s="1"/>
  <c r="AS16" i="5" s="1"/>
  <c r="AM8" i="5"/>
  <c r="AM16" i="5" s="1"/>
  <c r="O6" i="10"/>
  <c r="AS6" i="5" s="1"/>
  <c r="AS14" i="5" s="1"/>
  <c r="AM6" i="5"/>
  <c r="AM14" i="5" s="1"/>
  <c r="O4" i="10"/>
  <c r="AS4" i="5" s="1"/>
  <c r="AS12" i="5" s="1"/>
  <c r="AM4" i="5"/>
  <c r="AM12" i="5" s="1"/>
  <c r="O5" i="10"/>
  <c r="AS5" i="5" s="1"/>
  <c r="AS13" i="5" s="1"/>
  <c r="AM5" i="5"/>
  <c r="AM13" i="5" s="1"/>
  <c r="O18" i="10"/>
  <c r="AT8" i="5" s="1"/>
  <c r="AT16" i="5" s="1"/>
  <c r="AN8" i="5"/>
  <c r="AN16" i="5" s="1"/>
  <c r="O14" i="10"/>
  <c r="AT4" i="5" s="1"/>
  <c r="AT12" i="5" s="1"/>
  <c r="AN4" i="5"/>
  <c r="AN12" i="5" s="1"/>
  <c r="O15" i="10"/>
  <c r="AT5" i="5" s="1"/>
  <c r="AT13" i="5" s="1"/>
  <c r="AN5" i="5"/>
  <c r="AN13" i="5" s="1"/>
  <c r="O16" i="10"/>
  <c r="AT6" i="5" s="1"/>
  <c r="AT14" i="5" s="1"/>
  <c r="AN6" i="5"/>
  <c r="AN14" i="5" s="1"/>
  <c r="O13" i="10"/>
  <c r="AT3" i="5" s="1"/>
  <c r="AT11" i="5" s="1"/>
  <c r="O25" i="8"/>
  <c r="AI5" i="5" s="1"/>
  <c r="AI13" i="5" s="1"/>
  <c r="AC5" i="5"/>
  <c r="AC13" i="5" s="1"/>
  <c r="O18" i="8"/>
  <c r="AH8" i="5" s="1"/>
  <c r="AH16" i="5" s="1"/>
  <c r="AB8" i="5"/>
  <c r="AB16" i="5" s="1"/>
  <c r="O15" i="8"/>
  <c r="AH5" i="5" s="1"/>
  <c r="AH13" i="5" s="1"/>
  <c r="AB5" i="5"/>
  <c r="AB13" i="5" s="1"/>
  <c r="O28" i="8"/>
  <c r="AI8" i="5" s="1"/>
  <c r="AI16" i="5" s="1"/>
  <c r="AC8" i="5"/>
  <c r="AC16" i="5" s="1"/>
  <c r="O16" i="8"/>
  <c r="AH6" i="5" s="1"/>
  <c r="AH14" i="5" s="1"/>
  <c r="AB6" i="5"/>
  <c r="AB14" i="5" s="1"/>
  <c r="O13" i="8"/>
  <c r="AH3" i="5" s="1"/>
  <c r="AH11" i="5" s="1"/>
  <c r="AB3" i="5"/>
  <c r="AB11" i="5" s="1"/>
  <c r="O24" i="8"/>
  <c r="AI4" i="5" s="1"/>
  <c r="AI12" i="5" s="1"/>
  <c r="AC4" i="5"/>
  <c r="AC12" i="5" s="1"/>
  <c r="O14" i="8"/>
  <c r="AH4" i="5" s="1"/>
  <c r="AH12" i="5" s="1"/>
  <c r="AB4" i="5"/>
  <c r="AB12" i="5" s="1"/>
  <c r="O17" i="8"/>
  <c r="AH7" i="5" s="1"/>
  <c r="AH15" i="5" s="1"/>
  <c r="AB7" i="5"/>
  <c r="AB15" i="5" s="1"/>
  <c r="O26" i="8"/>
  <c r="AI6" i="5" s="1"/>
  <c r="AI14" i="5" s="1"/>
  <c r="AC6" i="5"/>
  <c r="AC14" i="5" s="1"/>
  <c r="O7" i="8"/>
  <c r="AG7" i="5" s="1"/>
  <c r="AG15" i="5" s="1"/>
  <c r="AA7" i="5"/>
  <c r="AA15" i="5" s="1"/>
  <c r="O4" i="8"/>
  <c r="AG4" i="5" s="1"/>
  <c r="AG12" i="5" s="1"/>
  <c r="AA4" i="5"/>
  <c r="AA12" i="5" s="1"/>
  <c r="O5" i="8"/>
  <c r="AG5" i="5" s="1"/>
  <c r="AG13" i="5" s="1"/>
  <c r="AA5" i="5"/>
  <c r="AA13" i="5" s="1"/>
  <c r="O8" i="8"/>
  <c r="AG8" i="5" s="1"/>
  <c r="AG16" i="5" s="1"/>
  <c r="AA8" i="5"/>
  <c r="AA16" i="5" s="1"/>
  <c r="O3" i="8"/>
  <c r="AG3" i="5" s="1"/>
  <c r="AG11" i="5" s="1"/>
  <c r="AA3" i="5"/>
  <c r="AA11" i="5" s="1"/>
  <c r="O6" i="8"/>
  <c r="AG6" i="5" s="1"/>
  <c r="AG14" i="5" s="1"/>
  <c r="AA6" i="5"/>
  <c r="AA14" i="5" s="1"/>
  <c r="O17" i="7"/>
  <c r="V7" i="5" s="1"/>
  <c r="V15" i="5" s="1"/>
  <c r="P7" i="5"/>
  <c r="P15" i="5" s="1"/>
  <c r="O25" i="7"/>
  <c r="W5" i="5" s="1"/>
  <c r="W13" i="5" s="1"/>
  <c r="Q5" i="5"/>
  <c r="Q13" i="5" s="1"/>
  <c r="O18" i="7"/>
  <c r="V8" i="5" s="1"/>
  <c r="V16" i="5" s="1"/>
  <c r="P8" i="5"/>
  <c r="P16" i="5" s="1"/>
  <c r="O23" i="7"/>
  <c r="W3" i="5" s="1"/>
  <c r="W11" i="5" s="1"/>
  <c r="Q3" i="5"/>
  <c r="Q11" i="5" s="1"/>
  <c r="O15" i="7"/>
  <c r="V5" i="5" s="1"/>
  <c r="V13" i="5" s="1"/>
  <c r="P5" i="5"/>
  <c r="P13" i="5" s="1"/>
  <c r="O16" i="7"/>
  <c r="V6" i="5" s="1"/>
  <c r="V14" i="5" s="1"/>
  <c r="P6" i="5"/>
  <c r="P14" i="5" s="1"/>
  <c r="O27" i="7"/>
  <c r="W7" i="5" s="1"/>
  <c r="W15" i="5" s="1"/>
  <c r="Q7" i="5"/>
  <c r="Q15" i="5" s="1"/>
  <c r="O28" i="7"/>
  <c r="W8" i="5" s="1"/>
  <c r="W16" i="5" s="1"/>
  <c r="Q8" i="5"/>
  <c r="Q16" i="5" s="1"/>
  <c r="O14" i="7"/>
  <c r="V4" i="5" s="1"/>
  <c r="V12" i="5" s="1"/>
  <c r="P4" i="5"/>
  <c r="P12" i="5" s="1"/>
  <c r="O24" i="7"/>
  <c r="W4" i="5" s="1"/>
  <c r="W12" i="5" s="1"/>
  <c r="Q4" i="5"/>
  <c r="Q12" i="5" s="1"/>
  <c r="O26" i="7"/>
  <c r="W6" i="5" s="1"/>
  <c r="W14" i="5" s="1"/>
  <c r="Q6" i="5"/>
  <c r="Q14" i="5" s="1"/>
  <c r="O13" i="7"/>
  <c r="V3" i="5" s="1"/>
  <c r="V11" i="5" s="1"/>
  <c r="P3" i="5"/>
  <c r="P11" i="5" s="1"/>
  <c r="O6" i="7"/>
  <c r="U6" i="5" s="1"/>
  <c r="U14" i="5" s="1"/>
  <c r="O6" i="5"/>
  <c r="O14" i="5" s="1"/>
  <c r="O5" i="7"/>
  <c r="U5" i="5" s="1"/>
  <c r="U13" i="5" s="1"/>
  <c r="O5" i="5"/>
  <c r="O13" i="5" s="1"/>
  <c r="O8" i="7"/>
  <c r="U8" i="5" s="1"/>
  <c r="U16" i="5" s="1"/>
  <c r="O8" i="5"/>
  <c r="O16" i="5" s="1"/>
  <c r="O4" i="7"/>
  <c r="U4" i="5" s="1"/>
  <c r="U12" i="5" s="1"/>
  <c r="O4" i="5"/>
  <c r="O12" i="5" s="1"/>
  <c r="O7" i="7"/>
  <c r="U7" i="5" s="1"/>
  <c r="U15" i="5" s="1"/>
  <c r="O7" i="5"/>
  <c r="O15" i="5" s="1"/>
  <c r="O15" i="9"/>
  <c r="J5" i="5" s="1"/>
  <c r="J13" i="5" s="1"/>
  <c r="D13" i="5"/>
  <c r="O26" i="9"/>
  <c r="K6" i="5" s="1"/>
  <c r="K14" i="5" s="1"/>
  <c r="E14" i="5"/>
  <c r="O17" i="9"/>
  <c r="J7" i="5" s="1"/>
  <c r="J15" i="5" s="1"/>
  <c r="D15" i="5"/>
  <c r="O16" i="9"/>
  <c r="J6" i="5" s="1"/>
  <c r="J14" i="5" s="1"/>
  <c r="D14" i="5"/>
  <c r="O14" i="9"/>
  <c r="J4" i="5" s="1"/>
  <c r="J12" i="5" s="1"/>
  <c r="D12" i="5"/>
  <c r="O25" i="9"/>
  <c r="K5" i="5" s="1"/>
  <c r="K13" i="5" s="1"/>
  <c r="E13" i="5"/>
  <c r="O8" i="9"/>
  <c r="I8" i="5" s="1"/>
  <c r="I16" i="5" s="1"/>
  <c r="C16" i="5"/>
  <c r="O5" i="9"/>
  <c r="I5" i="5" s="1"/>
  <c r="I13" i="5" s="1"/>
  <c r="C13" i="5"/>
  <c r="O7" i="9"/>
  <c r="I7" i="5" s="1"/>
  <c r="I15" i="5" s="1"/>
  <c r="O4" i="9"/>
  <c r="I4" i="5" s="1"/>
  <c r="I12" i="5" s="1"/>
  <c r="C12" i="5"/>
  <c r="O6" i="9"/>
  <c r="I6" i="5" s="1"/>
  <c r="I14" i="5" s="1"/>
  <c r="C14" i="5"/>
  <c r="M18" i="10"/>
  <c r="N18" i="10" s="1"/>
  <c r="AQ8" i="5" s="1"/>
  <c r="AQ16" i="5" s="1"/>
  <c r="O17" i="10"/>
  <c r="AT7" i="5" s="1"/>
  <c r="AT15" i="5" s="1"/>
  <c r="M17" i="10"/>
  <c r="N17" i="10" s="1"/>
  <c r="AQ7" i="5" s="1"/>
  <c r="AQ15" i="5" s="1"/>
  <c r="O18" i="9"/>
  <c r="J8" i="5" s="1"/>
  <c r="J16" i="5" s="1"/>
  <c r="M18" i="9"/>
  <c r="N18" i="9" s="1"/>
  <c r="G8" i="5" s="1"/>
  <c r="G16" i="5" s="1"/>
  <c r="O13" i="9"/>
  <c r="J3" i="5" s="1"/>
  <c r="J11" i="5" s="1"/>
  <c r="M13" i="9"/>
  <c r="N13" i="9" s="1"/>
  <c r="M4" i="8"/>
  <c r="N4" i="8" s="1"/>
  <c r="AD4" i="5" s="1"/>
  <c r="AD12" i="5" s="1"/>
  <c r="M14" i="8"/>
  <c r="N14" i="8" s="1"/>
  <c r="AE4" i="5" s="1"/>
  <c r="AE12" i="5" s="1"/>
  <c r="M3" i="9"/>
  <c r="N3" i="9" s="1"/>
  <c r="M28" i="9"/>
  <c r="N28" i="9" s="1"/>
  <c r="H8" i="5" s="1"/>
  <c r="H16" i="5" s="1"/>
  <c r="M6" i="7"/>
  <c r="M4" i="7"/>
  <c r="N4" i="7" s="1"/>
  <c r="R4" i="5" s="1"/>
  <c r="R12" i="5" s="1"/>
  <c r="M3" i="7"/>
  <c r="M8" i="7"/>
  <c r="M5" i="7"/>
  <c r="M7" i="7"/>
  <c r="N7" i="7" s="1"/>
  <c r="R7" i="5" s="1"/>
  <c r="R15" i="5" s="1"/>
  <c r="M6" i="9"/>
  <c r="N6" i="9" s="1"/>
  <c r="M13" i="10"/>
  <c r="N13" i="10" s="1"/>
  <c r="AQ3" i="5" s="1"/>
  <c r="AQ11" i="5" s="1"/>
  <c r="M4" i="10"/>
  <c r="N4" i="10" s="1"/>
  <c r="AP4" i="5" s="1"/>
  <c r="AP12" i="5" s="1"/>
  <c r="M8" i="10"/>
  <c r="N8" i="10" s="1"/>
  <c r="AP8" i="5" s="1"/>
  <c r="AP16" i="5" s="1"/>
  <c r="M6" i="10"/>
  <c r="N6" i="10" s="1"/>
  <c r="AP6" i="5" s="1"/>
  <c r="AP14" i="5" s="1"/>
  <c r="M7" i="10"/>
  <c r="N7" i="10" s="1"/>
  <c r="AP7" i="5" s="1"/>
  <c r="AP15" i="5" s="1"/>
  <c r="M26" i="10"/>
  <c r="N26" i="10" s="1"/>
  <c r="AR6" i="5" s="1"/>
  <c r="AR14" i="5" s="1"/>
  <c r="M5" i="10"/>
  <c r="N5" i="10" s="1"/>
  <c r="AP5" i="5" s="1"/>
  <c r="AP13" i="5" s="1"/>
  <c r="M15" i="10"/>
  <c r="N15" i="10" s="1"/>
  <c r="AQ5" i="5" s="1"/>
  <c r="AQ13" i="5" s="1"/>
  <c r="M28" i="10"/>
  <c r="N28" i="10" s="1"/>
  <c r="AR8" i="5" s="1"/>
  <c r="AR16" i="5" s="1"/>
  <c r="M15" i="9"/>
  <c r="N15" i="9" s="1"/>
  <c r="G5" i="5" s="1"/>
  <c r="G13" i="5" s="1"/>
  <c r="M23" i="10"/>
  <c r="N23" i="10" s="1"/>
  <c r="AR3" i="5" s="1"/>
  <c r="AR11" i="5" s="1"/>
  <c r="O23" i="10"/>
  <c r="AU3" i="5" s="1"/>
  <c r="AU11" i="5" s="1"/>
  <c r="M24" i="10"/>
  <c r="N24" i="10" s="1"/>
  <c r="AR4" i="5" s="1"/>
  <c r="AR12" i="5" s="1"/>
  <c r="M16" i="10"/>
  <c r="N16" i="10" s="1"/>
  <c r="AQ6" i="5" s="1"/>
  <c r="AQ14" i="5" s="1"/>
  <c r="M14" i="10"/>
  <c r="N14" i="10" s="1"/>
  <c r="AQ4" i="5" s="1"/>
  <c r="AQ12" i="5" s="1"/>
  <c r="M25" i="10"/>
  <c r="N25" i="10" s="1"/>
  <c r="AR5" i="5" s="1"/>
  <c r="AR13" i="5" s="1"/>
  <c r="M27" i="10"/>
  <c r="N27" i="10" s="1"/>
  <c r="AR7" i="5" s="1"/>
  <c r="AR15" i="5" s="1"/>
  <c r="O27" i="10"/>
  <c r="AU7" i="5" s="1"/>
  <c r="AU15" i="5" s="1"/>
  <c r="M5" i="9"/>
  <c r="N5" i="9" s="1"/>
  <c r="M7" i="9"/>
  <c r="N7" i="9" s="1"/>
  <c r="O28" i="9"/>
  <c r="K8" i="5" s="1"/>
  <c r="K16" i="5" s="1"/>
  <c r="M25" i="9"/>
  <c r="N25" i="9" s="1"/>
  <c r="H5" i="5" s="1"/>
  <c r="H13" i="5" s="1"/>
  <c r="O24" i="9"/>
  <c r="K4" i="5" s="1"/>
  <c r="K12" i="5" s="1"/>
  <c r="M24" i="9"/>
  <c r="N24" i="9" s="1"/>
  <c r="H4" i="5" s="1"/>
  <c r="H12" i="5" s="1"/>
  <c r="M26" i="9"/>
  <c r="N26" i="9" s="1"/>
  <c r="H6" i="5" s="1"/>
  <c r="H14" i="5" s="1"/>
  <c r="M4" i="9"/>
  <c r="N4" i="9" s="1"/>
  <c r="O27" i="9"/>
  <c r="K7" i="5" s="1"/>
  <c r="K15" i="5" s="1"/>
  <c r="M27" i="9"/>
  <c r="N27" i="9" s="1"/>
  <c r="H7" i="5" s="1"/>
  <c r="H15" i="5" s="1"/>
  <c r="M8" i="9"/>
  <c r="N8" i="9" s="1"/>
  <c r="O23" i="9"/>
  <c r="K3" i="5" s="1"/>
  <c r="K11" i="5" s="1"/>
  <c r="M23" i="9"/>
  <c r="N23" i="9" s="1"/>
  <c r="H3" i="5" s="1"/>
  <c r="H11" i="5" s="1"/>
  <c r="M14" i="9"/>
  <c r="N14" i="9" s="1"/>
  <c r="G4" i="5" s="1"/>
  <c r="G12" i="5" s="1"/>
  <c r="M17" i="9"/>
  <c r="N17" i="9" s="1"/>
  <c r="G7" i="5" s="1"/>
  <c r="G15" i="5" s="1"/>
  <c r="M16" i="9"/>
  <c r="N16" i="9" s="1"/>
  <c r="G6" i="5" s="1"/>
  <c r="G14" i="5" s="1"/>
  <c r="M28" i="8"/>
  <c r="N28" i="8" s="1"/>
  <c r="AF8" i="5" s="1"/>
  <c r="AF16" i="5" s="1"/>
  <c r="M18" i="8"/>
  <c r="N18" i="8" s="1"/>
  <c r="AE8" i="5" s="1"/>
  <c r="AE16" i="5" s="1"/>
  <c r="M13" i="8"/>
  <c r="N13" i="8" s="1"/>
  <c r="AE3" i="5" s="1"/>
  <c r="AE11" i="5" s="1"/>
  <c r="M17" i="8"/>
  <c r="N17" i="8" s="1"/>
  <c r="AE7" i="5" s="1"/>
  <c r="AE15" i="5" s="1"/>
  <c r="M7" i="8"/>
  <c r="N7" i="8" s="1"/>
  <c r="AD7" i="5" s="1"/>
  <c r="AD15" i="5" s="1"/>
  <c r="M25" i="8"/>
  <c r="N25" i="8" s="1"/>
  <c r="AF5" i="5" s="1"/>
  <c r="AF13" i="5" s="1"/>
  <c r="M15" i="8"/>
  <c r="N15" i="8" s="1"/>
  <c r="AE5" i="5" s="1"/>
  <c r="AE13" i="5" s="1"/>
  <c r="M16" i="8"/>
  <c r="N16" i="8" s="1"/>
  <c r="AE6" i="5" s="1"/>
  <c r="AE14" i="5" s="1"/>
  <c r="M27" i="8"/>
  <c r="N27" i="8" s="1"/>
  <c r="AF7" i="5" s="1"/>
  <c r="AF15" i="5" s="1"/>
  <c r="O27" i="8"/>
  <c r="AI7" i="5" s="1"/>
  <c r="AI15" i="5" s="1"/>
  <c r="M23" i="8"/>
  <c r="N23" i="8" s="1"/>
  <c r="AF3" i="5" s="1"/>
  <c r="AF11" i="5" s="1"/>
  <c r="O23" i="8"/>
  <c r="AI3" i="5" s="1"/>
  <c r="AI11" i="5" s="1"/>
  <c r="M26" i="8"/>
  <c r="N26" i="8" s="1"/>
  <c r="AF6" i="5" s="1"/>
  <c r="AF14" i="5" s="1"/>
  <c r="P6" i="8"/>
  <c r="AJ6" i="5" s="1"/>
  <c r="AJ14" i="5" s="1"/>
  <c r="P3" i="8"/>
  <c r="AJ3" i="5" s="1"/>
  <c r="AJ11" i="5" s="1"/>
  <c r="M24" i="8"/>
  <c r="N24" i="8" s="1"/>
  <c r="AF4" i="5" s="1"/>
  <c r="AF12" i="5" s="1"/>
  <c r="M5" i="8"/>
  <c r="N5" i="8" s="1"/>
  <c r="AD5" i="5" s="1"/>
  <c r="AD13" i="5" s="1"/>
  <c r="M8" i="8"/>
  <c r="N8" i="8" s="1"/>
  <c r="AD8" i="5" s="1"/>
  <c r="AD16" i="5" s="1"/>
  <c r="M23" i="7"/>
  <c r="N23" i="7" s="1"/>
  <c r="T3" i="5" s="1"/>
  <c r="T11" i="5" s="1"/>
  <c r="M14" i="7"/>
  <c r="N14" i="7" s="1"/>
  <c r="S4" i="5" s="1"/>
  <c r="S12" i="5" s="1"/>
  <c r="M26" i="7"/>
  <c r="N26" i="7" s="1"/>
  <c r="T6" i="5" s="1"/>
  <c r="T14" i="5" s="1"/>
  <c r="M13" i="7"/>
  <c r="N13" i="7" s="1"/>
  <c r="S3" i="5" s="1"/>
  <c r="S11" i="5" s="1"/>
  <c r="M18" i="7"/>
  <c r="N18" i="7" s="1"/>
  <c r="S8" i="5" s="1"/>
  <c r="S16" i="5" s="1"/>
  <c r="M15" i="7"/>
  <c r="N15" i="7" s="1"/>
  <c r="S5" i="5" s="1"/>
  <c r="S13" i="5" s="1"/>
  <c r="M25" i="7"/>
  <c r="N25" i="7" s="1"/>
  <c r="T5" i="5" s="1"/>
  <c r="T13" i="5" s="1"/>
  <c r="M17" i="7"/>
  <c r="N17" i="7" s="1"/>
  <c r="S7" i="5" s="1"/>
  <c r="S15" i="5" s="1"/>
  <c r="M16" i="7"/>
  <c r="N16" i="7" s="1"/>
  <c r="S6" i="5" s="1"/>
  <c r="S14" i="5" s="1"/>
  <c r="M27" i="7"/>
  <c r="N27" i="7" s="1"/>
  <c r="T7" i="5" s="1"/>
  <c r="T15" i="5" s="1"/>
  <c r="M24" i="7"/>
  <c r="N24" i="7" s="1"/>
  <c r="T4" i="5" s="1"/>
  <c r="T12" i="5" s="1"/>
  <c r="M28" i="7"/>
  <c r="N28" i="7" s="1"/>
  <c r="T8" i="5" s="1"/>
  <c r="T16" i="5" s="1"/>
  <c r="P29" i="7" l="1"/>
  <c r="Z9" i="5" s="1"/>
  <c r="Z17" i="5" s="1"/>
  <c r="N9" i="9"/>
  <c r="F9" i="5" s="1"/>
  <c r="F17" i="5" s="1"/>
  <c r="N19" i="9"/>
  <c r="G9" i="5" s="1"/>
  <c r="G17" i="5" s="1"/>
  <c r="P29" i="9"/>
  <c r="N9" i="5" s="1"/>
  <c r="N17" i="5" s="1"/>
  <c r="P9" i="7"/>
  <c r="X9" i="5" s="1"/>
  <c r="X17" i="5" s="1"/>
  <c r="P14" i="8"/>
  <c r="AK4" i="5" s="1"/>
  <c r="AK12" i="5" s="1"/>
  <c r="P17" i="8"/>
  <c r="AK7" i="5" s="1"/>
  <c r="AK15" i="5" s="1"/>
  <c r="P4" i="8"/>
  <c r="AJ4" i="5" s="1"/>
  <c r="AJ12" i="5" s="1"/>
  <c r="G3" i="5"/>
  <c r="G11" i="5" s="1"/>
  <c r="F4" i="5"/>
  <c r="F12" i="5" s="1"/>
  <c r="F8" i="5"/>
  <c r="F16" i="5" s="1"/>
  <c r="F7" i="5"/>
  <c r="F15" i="5" s="1"/>
  <c r="F6" i="5"/>
  <c r="F14" i="5" s="1"/>
  <c r="F3" i="5"/>
  <c r="F5" i="5"/>
  <c r="F13" i="5" s="1"/>
  <c r="P18" i="10"/>
  <c r="AW8" i="5" s="1"/>
  <c r="AW16" i="5" s="1"/>
  <c r="P8" i="7"/>
  <c r="X8" i="5" s="1"/>
  <c r="X16" i="5" s="1"/>
  <c r="N8" i="7"/>
  <c r="R8" i="5" s="1"/>
  <c r="R16" i="5" s="1"/>
  <c r="P5" i="7"/>
  <c r="X5" i="5" s="1"/>
  <c r="X13" i="5" s="1"/>
  <c r="N5" i="7"/>
  <c r="R5" i="5" s="1"/>
  <c r="R13" i="5" s="1"/>
  <c r="P3" i="7"/>
  <c r="X3" i="5" s="1"/>
  <c r="X11" i="5" s="1"/>
  <c r="N3" i="7"/>
  <c r="R3" i="5" s="1"/>
  <c r="R11" i="5" s="1"/>
  <c r="P6" i="7"/>
  <c r="X6" i="5" s="1"/>
  <c r="X14" i="5" s="1"/>
  <c r="N6" i="7"/>
  <c r="R6" i="5" s="1"/>
  <c r="R14" i="5" s="1"/>
  <c r="P3" i="9"/>
  <c r="L3" i="5" s="1"/>
  <c r="L11" i="5" s="1"/>
  <c r="P13" i="8"/>
  <c r="AK3" i="5" s="1"/>
  <c r="AK11" i="5" s="1"/>
  <c r="P15" i="8"/>
  <c r="AK5" i="5" s="1"/>
  <c r="AK13" i="5" s="1"/>
  <c r="P4" i="7"/>
  <c r="X4" i="5" s="1"/>
  <c r="X12" i="5" s="1"/>
  <c r="P23" i="7"/>
  <c r="Z3" i="5" s="1"/>
  <c r="Z11" i="5" s="1"/>
  <c r="P7" i="7"/>
  <c r="X7" i="5" s="1"/>
  <c r="X15" i="5" s="1"/>
  <c r="P25" i="7"/>
  <c r="Z5" i="5" s="1"/>
  <c r="Z13" i="5" s="1"/>
  <c r="P5" i="9"/>
  <c r="L5" i="5" s="1"/>
  <c r="L13" i="5" s="1"/>
  <c r="P6" i="9"/>
  <c r="L6" i="5" s="1"/>
  <c r="L14" i="5" s="1"/>
  <c r="P13" i="10"/>
  <c r="AW3" i="5" s="1"/>
  <c r="AW11" i="5" s="1"/>
  <c r="P15" i="10"/>
  <c r="AW5" i="5" s="1"/>
  <c r="AW13" i="5" s="1"/>
  <c r="P4" i="10"/>
  <c r="AV4" i="5" s="1"/>
  <c r="AV12" i="5" s="1"/>
  <c r="P8" i="10"/>
  <c r="AV8" i="5" s="1"/>
  <c r="AV16" i="5" s="1"/>
  <c r="P6" i="10"/>
  <c r="AV6" i="5" s="1"/>
  <c r="AV14" i="5" s="1"/>
  <c r="P7" i="10"/>
  <c r="AV7" i="5" s="1"/>
  <c r="AV15" i="5" s="1"/>
  <c r="P26" i="10"/>
  <c r="AX6" i="5" s="1"/>
  <c r="AX14" i="5" s="1"/>
  <c r="P25" i="10"/>
  <c r="AX5" i="5" s="1"/>
  <c r="AX13" i="5" s="1"/>
  <c r="P23" i="10"/>
  <c r="AX3" i="5" s="1"/>
  <c r="AX11" i="5" s="1"/>
  <c r="P5" i="10"/>
  <c r="AV5" i="5" s="1"/>
  <c r="AV13" i="5" s="1"/>
  <c r="P3" i="10"/>
  <c r="AV3" i="5" s="1"/>
  <c r="AV11" i="5" s="1"/>
  <c r="P28" i="10"/>
  <c r="AX8" i="5" s="1"/>
  <c r="AX16" i="5" s="1"/>
  <c r="P15" i="9"/>
  <c r="M5" i="5" s="1"/>
  <c r="M13" i="5" s="1"/>
  <c r="P28" i="9"/>
  <c r="N8" i="5" s="1"/>
  <c r="N16" i="5" s="1"/>
  <c r="P13" i="9"/>
  <c r="M3" i="5" s="1"/>
  <c r="M11" i="5" s="1"/>
  <c r="P14" i="10"/>
  <c r="AW4" i="5" s="1"/>
  <c r="AW12" i="5" s="1"/>
  <c r="P17" i="10"/>
  <c r="AW7" i="5" s="1"/>
  <c r="AW15" i="5" s="1"/>
  <c r="P16" i="10"/>
  <c r="AW6" i="5" s="1"/>
  <c r="AW14" i="5" s="1"/>
  <c r="P24" i="10"/>
  <c r="AX4" i="5" s="1"/>
  <c r="AX12" i="5" s="1"/>
  <c r="P27" i="10"/>
  <c r="AX7" i="5" s="1"/>
  <c r="AX15" i="5" s="1"/>
  <c r="P25" i="9"/>
  <c r="N5" i="5" s="1"/>
  <c r="N13" i="5" s="1"/>
  <c r="P7" i="9"/>
  <c r="L7" i="5" s="1"/>
  <c r="L15" i="5" s="1"/>
  <c r="P24" i="9"/>
  <c r="N4" i="5" s="1"/>
  <c r="N12" i="5" s="1"/>
  <c r="P26" i="9"/>
  <c r="N6" i="5" s="1"/>
  <c r="N14" i="5" s="1"/>
  <c r="P18" i="9"/>
  <c r="M8" i="5" s="1"/>
  <c r="M16" i="5" s="1"/>
  <c r="P16" i="9"/>
  <c r="M6" i="5" s="1"/>
  <c r="M14" i="5" s="1"/>
  <c r="P4" i="9"/>
  <c r="L4" i="5" s="1"/>
  <c r="L12" i="5" s="1"/>
  <c r="P17" i="9"/>
  <c r="M7" i="5" s="1"/>
  <c r="M15" i="5" s="1"/>
  <c r="P8" i="9"/>
  <c r="L8" i="5" s="1"/>
  <c r="L16" i="5" s="1"/>
  <c r="P14" i="9"/>
  <c r="M4" i="5" s="1"/>
  <c r="M12" i="5" s="1"/>
  <c r="P23" i="9"/>
  <c r="N3" i="5" s="1"/>
  <c r="N11" i="5" s="1"/>
  <c r="P27" i="9"/>
  <c r="N7" i="5" s="1"/>
  <c r="N15" i="5" s="1"/>
  <c r="P25" i="8"/>
  <c r="AL5" i="5" s="1"/>
  <c r="AL13" i="5" s="1"/>
  <c r="P28" i="8"/>
  <c r="AL8" i="5" s="1"/>
  <c r="AL16" i="5" s="1"/>
  <c r="P23" i="8"/>
  <c r="AL3" i="5" s="1"/>
  <c r="AL11" i="5" s="1"/>
  <c r="P27" i="8"/>
  <c r="AL7" i="5" s="1"/>
  <c r="AL15" i="5" s="1"/>
  <c r="P18" i="8"/>
  <c r="AK8" i="5" s="1"/>
  <c r="AK16" i="5" s="1"/>
  <c r="P26" i="8"/>
  <c r="AL6" i="5" s="1"/>
  <c r="AL14" i="5" s="1"/>
  <c r="P7" i="8"/>
  <c r="AJ7" i="5" s="1"/>
  <c r="AJ15" i="5" s="1"/>
  <c r="P16" i="8"/>
  <c r="AK6" i="5" s="1"/>
  <c r="AK14" i="5" s="1"/>
  <c r="P24" i="8"/>
  <c r="AL4" i="5" s="1"/>
  <c r="AL12" i="5" s="1"/>
  <c r="P8" i="8"/>
  <c r="AJ8" i="5" s="1"/>
  <c r="AJ16" i="5" s="1"/>
  <c r="P5" i="8"/>
  <c r="AJ5" i="5" s="1"/>
  <c r="AJ13" i="5" s="1"/>
  <c r="P26" i="7"/>
  <c r="Z6" i="5" s="1"/>
  <c r="Z14" i="5" s="1"/>
  <c r="P14" i="7"/>
  <c r="Y4" i="5" s="1"/>
  <c r="Y12" i="5" s="1"/>
  <c r="P13" i="7"/>
  <c r="Y3" i="5" s="1"/>
  <c r="Y11" i="5" s="1"/>
  <c r="P18" i="7"/>
  <c r="Y8" i="5" s="1"/>
  <c r="Y16" i="5" s="1"/>
  <c r="P28" i="7"/>
  <c r="Z8" i="5" s="1"/>
  <c r="Z16" i="5" s="1"/>
  <c r="P16" i="7"/>
  <c r="Y6" i="5" s="1"/>
  <c r="Y14" i="5" s="1"/>
  <c r="P24" i="7"/>
  <c r="Z4" i="5" s="1"/>
  <c r="Z12" i="5" s="1"/>
  <c r="P17" i="7"/>
  <c r="Y7" i="5" s="1"/>
  <c r="Y15" i="5" s="1"/>
  <c r="P27" i="7"/>
  <c r="Z7" i="5" s="1"/>
  <c r="Z15" i="5" s="1"/>
  <c r="P15" i="7"/>
  <c r="Y5" i="5" s="1"/>
  <c r="Y13" i="5" s="1"/>
</calcChain>
</file>

<file path=xl/sharedStrings.xml><?xml version="1.0" encoding="utf-8"?>
<sst xmlns="http://schemas.openxmlformats.org/spreadsheetml/2006/main" count="277" uniqueCount="60">
  <si>
    <t>r</t>
  </si>
  <si>
    <t>l_h</t>
  </si>
  <si>
    <t>kappa</t>
  </si>
  <si>
    <t>psi</t>
  </si>
  <si>
    <t>g1_70</t>
  </si>
  <si>
    <t>g2_75</t>
  </si>
  <si>
    <t>r_70</t>
  </si>
  <si>
    <t>r_75</t>
  </si>
  <si>
    <t>kappa_70</t>
  </si>
  <si>
    <t>kappa_75</t>
  </si>
  <si>
    <t>kappa_79</t>
  </si>
  <si>
    <t>BASELINE</t>
  </si>
  <si>
    <t>Parameters</t>
  </si>
  <si>
    <t>bl</t>
  </si>
  <si>
    <t>bk</t>
  </si>
  <si>
    <t>gamma</t>
  </si>
  <si>
    <t>beta</t>
  </si>
  <si>
    <t>alpha</t>
  </si>
  <si>
    <t>theta</t>
  </si>
  <si>
    <t>delta</t>
  </si>
  <si>
    <t>rho</t>
  </si>
  <si>
    <t>Calibrated Values_70</t>
  </si>
  <si>
    <t>Calibrated Values_75</t>
  </si>
  <si>
    <t>shock</t>
  </si>
  <si>
    <t>new_delta</t>
  </si>
  <si>
    <t>1-alpha/alpha</t>
  </si>
  <si>
    <t>(1-2alpha)/(1-alpha)</t>
  </si>
  <si>
    <t>alpha/(1-alpha)</t>
  </si>
  <si>
    <t>bl/bk</t>
  </si>
  <si>
    <t>new_r</t>
  </si>
  <si>
    <t>new_kappa</t>
  </si>
  <si>
    <t>SS parameter components</t>
  </si>
  <si>
    <t>(1-alpha)/(1-beta)</t>
  </si>
  <si>
    <t>gamma/(1-gamma)</t>
  </si>
  <si>
    <t>xi</t>
  </si>
  <si>
    <t>(theta-1)</t>
  </si>
  <si>
    <t>theta-(1-2alpha/1-alpha)</t>
  </si>
  <si>
    <t>sigma_KL</t>
  </si>
  <si>
    <t>new_sigma_KL</t>
  </si>
  <si>
    <t>PK/PL</t>
  </si>
  <si>
    <t>new_g</t>
  </si>
  <si>
    <t>L70</t>
  </si>
  <si>
    <t>L75</t>
  </si>
  <si>
    <t>Initial (%)</t>
  </si>
  <si>
    <t>psi=-0.67</t>
  </si>
  <si>
    <t>initials</t>
  </si>
  <si>
    <t>Change</t>
  </si>
  <si>
    <t>g</t>
  </si>
  <si>
    <t>L80</t>
  </si>
  <si>
    <t>Calibrated Values_80</t>
  </si>
  <si>
    <t>new_laborsh</t>
  </si>
  <si>
    <t>laborsh_70</t>
  </si>
  <si>
    <t>laborsh_75</t>
  </si>
  <si>
    <t>laborlsh_80</t>
  </si>
  <si>
    <t>r_80</t>
  </si>
  <si>
    <t>kappa_80</t>
  </si>
  <si>
    <t>g3_80</t>
  </si>
  <si>
    <t>delta=0.025</t>
  </si>
  <si>
    <t>theta=1.5</t>
  </si>
  <si>
    <t>l_z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</si>
</sst>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000"/>
  </numFmts>
  <fonts count="3" x14ac:knownFonts="1">
    <font>
      <sz val="11"/>
      <color theme="1"/>
      <name val="Calibri"/>
      <family val="2"/>
      <charset val="162"/>
      <scheme val="minor"/>
    </font>
    <font>
      <sz val="10"/>
      <color theme="1"/>
      <name val="Consolas"/>
      <family val="3"/>
    </font>
    <font>
      <sz val="10"/>
      <color theme="1"/>
      <name val="Consolas"/>
      <family val="3"/>
      <charset val="16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left" vertical="center" indent="8"/>
    </xf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165" fontId="0" fillId="5" borderId="0" xfId="0" applyNumberFormat="1" applyFill="1"/>
    <xf numFmtId="165" fontId="0" fillId="5" borderId="5" xfId="0" applyNumberFormat="1" applyFill="1" applyBorder="1"/>
    <xf numFmtId="164" fontId="2" fillId="0" borderId="5" xfId="0" applyNumberFormat="1" applyFont="1" applyBorder="1" applyAlignment="1">
      <alignment horizontal="left" vertical="center" indent="8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A44F-3934-48EA-BB08-38577AB68164}">
  <dimension ref="B1:P29"/>
  <sheetViews>
    <sheetView workbookViewId="0">
      <selection activeCell="B19" sqref="B19"/>
    </sheetView>
  </sheetViews>
  <sheetFormatPr defaultRowHeight="14.4" x14ac:dyDescent="0.3"/>
  <cols>
    <col min="2" max="2" width="12.21875" customWidth="1"/>
    <col min="3" max="3" width="12" bestFit="1" customWidth="1"/>
    <col min="4" max="4" width="13.6640625" customWidth="1"/>
    <col min="5" max="5" width="23.33203125" bestFit="1" customWidth="1"/>
    <col min="6" max="8" width="20.88671875" bestFit="1" customWidth="1"/>
    <col min="10" max="10" width="10.6640625" customWidth="1"/>
    <col min="11" max="12" width="12" bestFit="1" customWidth="1"/>
    <col min="13" max="13" width="14.109375" bestFit="1" customWidth="1"/>
    <col min="14" max="14" width="13.88671875" bestFit="1" customWidth="1"/>
    <col min="15" max="16" width="12" bestFit="1" customWidth="1"/>
  </cols>
  <sheetData>
    <row r="1" spans="2:16" x14ac:dyDescent="0.3">
      <c r="J1" s="22" t="s">
        <v>41</v>
      </c>
      <c r="K1" s="22"/>
      <c r="L1" s="22"/>
      <c r="M1" s="22"/>
      <c r="N1" s="22"/>
      <c r="O1" s="22"/>
      <c r="P1" s="22"/>
    </row>
    <row r="2" spans="2:16" x14ac:dyDescent="0.3">
      <c r="B2" s="23" t="s">
        <v>43</v>
      </c>
      <c r="C2" s="24"/>
      <c r="E2" s="2" t="s">
        <v>12</v>
      </c>
      <c r="F2" s="3" t="s">
        <v>21</v>
      </c>
      <c r="G2" s="3" t="s">
        <v>22</v>
      </c>
      <c r="H2" s="4" t="s">
        <v>49</v>
      </c>
      <c r="J2" s="1" t="s">
        <v>23</v>
      </c>
      <c r="K2" s="1" t="s">
        <v>24</v>
      </c>
      <c r="L2" s="1" t="s">
        <v>40</v>
      </c>
      <c r="M2" t="s">
        <v>38</v>
      </c>
      <c r="N2" s="1" t="s">
        <v>50</v>
      </c>
      <c r="O2" t="s">
        <v>29</v>
      </c>
      <c r="P2" t="s">
        <v>30</v>
      </c>
    </row>
    <row r="3" spans="2:16" x14ac:dyDescent="0.3">
      <c r="B3" s="5" t="s">
        <v>47</v>
      </c>
      <c r="C3" s="6">
        <v>1.7</v>
      </c>
      <c r="E3" s="13" t="s">
        <v>13</v>
      </c>
      <c r="F3" s="14">
        <v>0.12888888890800099</v>
      </c>
      <c r="G3" s="14">
        <v>0.33600000002512398</v>
      </c>
      <c r="H3" s="15">
        <v>0.76000000000170298</v>
      </c>
      <c r="J3">
        <v>0.2</v>
      </c>
      <c r="K3">
        <f>$F$8+($F$8*J3)</f>
        <v>6.0000000000000005E-2</v>
      </c>
      <c r="L3">
        <f>($F$14*(($F$3-K3*$F$17-$F$15*$F$10)/($F$9-$F$16+1)))</f>
        <v>1.5916250000149346E-2</v>
      </c>
      <c r="M3">
        <f>$F$20*(((L3*$F$21)+$F$10+K3)/((L3*$F$22)+$F$10))</f>
        <v>0.66529525168469028</v>
      </c>
      <c r="N3">
        <f>((1+M3)^-1)</f>
        <v>0.60049411597634317</v>
      </c>
      <c r="O3">
        <f>(($F$9*L3)+$F$10)</f>
        <v>7.4832500000298702E-2</v>
      </c>
      <c r="P3">
        <f>($F$19*M3)^(1/$F$7)</f>
        <v>0.89801345785047237</v>
      </c>
    </row>
    <row r="4" spans="2:16" x14ac:dyDescent="0.3">
      <c r="B4" s="5" t="s">
        <v>37</v>
      </c>
      <c r="C4" s="6">
        <f>(37.4/(100-37.4))</f>
        <v>0.597444089456869</v>
      </c>
      <c r="E4" s="13" t="s">
        <v>14</v>
      </c>
      <c r="F4" s="14">
        <v>0.33333333334235299</v>
      </c>
      <c r="G4" s="14">
        <v>0.40000000000897301</v>
      </c>
      <c r="H4" s="15">
        <v>0.50000000000040701</v>
      </c>
      <c r="J4">
        <v>0.3</v>
      </c>
      <c r="K4">
        <f t="shared" ref="K4:K9" si="0">$F$8+($F$8*J4)</f>
        <v>6.5000000000000002E-2</v>
      </c>
      <c r="L4">
        <f t="shared" ref="L4:L9" si="1">($F$14*(($F$3-K4*$F$17-$F$15*$F$10)/($F$9-$F$16+1)))</f>
        <v>1.5374375000175846E-2</v>
      </c>
      <c r="M4">
        <f t="shared" ref="M4:M9" si="2">$F$20*(((L4*$F$21)+$F$10+K4)/((L4*$F$22)+$F$10))</f>
        <v>0.7007746399357061</v>
      </c>
      <c r="N4">
        <f t="shared" ref="N4:N9" si="3">((1+M4)^-1)</f>
        <v>0.58796737470039107</v>
      </c>
      <c r="O4">
        <f t="shared" ref="O4:O9" si="4">(($F$9*L4)+$F$10)</f>
        <v>7.3748750000351707E-2</v>
      </c>
      <c r="P4">
        <f t="shared" ref="P4:P9" si="5">($F$19*M4)^(1/$F$7)</f>
        <v>0.85254810235667577</v>
      </c>
    </row>
    <row r="5" spans="2:16" x14ac:dyDescent="0.3">
      <c r="B5" s="5" t="s">
        <v>0</v>
      </c>
      <c r="C5" s="6">
        <v>7.7</v>
      </c>
      <c r="E5" s="13" t="s">
        <v>16</v>
      </c>
      <c r="F5" s="14">
        <v>0.58012489398495104</v>
      </c>
      <c r="G5" s="14">
        <v>0.56311066800137599</v>
      </c>
      <c r="H5" s="15">
        <v>0.62384566729943602</v>
      </c>
      <c r="J5">
        <v>0.4</v>
      </c>
      <c r="K5">
        <f t="shared" si="0"/>
        <v>7.0000000000000007E-2</v>
      </c>
      <c r="L5">
        <f t="shared" si="1"/>
        <v>1.4832500000202344E-2</v>
      </c>
      <c r="M5">
        <f t="shared" si="2"/>
        <v>0.73735413817703943</v>
      </c>
      <c r="N5">
        <f t="shared" si="3"/>
        <v>0.57558788851723341</v>
      </c>
      <c r="O5">
        <f t="shared" si="4"/>
        <v>7.2665000000404698E-2</v>
      </c>
      <c r="P5">
        <f t="shared" si="5"/>
        <v>0.8102539316235885</v>
      </c>
    </row>
    <row r="6" spans="2:16" x14ac:dyDescent="0.3">
      <c r="B6" s="5" t="s">
        <v>39</v>
      </c>
      <c r="C6" s="6">
        <v>1</v>
      </c>
      <c r="E6" s="13" t="s">
        <v>17</v>
      </c>
      <c r="F6" s="14">
        <v>0.53211009177420598</v>
      </c>
      <c r="G6" s="14">
        <v>0.711864406791201</v>
      </c>
      <c r="H6" s="15">
        <v>0.81720430107549602</v>
      </c>
      <c r="J6">
        <v>0.5</v>
      </c>
      <c r="K6">
        <f>$F$8+($F$8*J6)</f>
        <v>7.5000000000000011E-2</v>
      </c>
      <c r="L6">
        <f>($F$14*(($F$3-K6*$F$17-$F$15*$F$10)/($F$9-$F$16+1)))</f>
        <v>1.4290625000228839E-2</v>
      </c>
      <c r="M6">
        <f t="shared" si="2"/>
        <v>0.77508571885754629</v>
      </c>
      <c r="N6">
        <f t="shared" si="3"/>
        <v>0.56335307606643636</v>
      </c>
      <c r="O6">
        <f t="shared" si="4"/>
        <v>7.1581250000457688E-2</v>
      </c>
      <c r="P6">
        <f t="shared" si="5"/>
        <v>0.77081034383846492</v>
      </c>
    </row>
    <row r="7" spans="2:16" x14ac:dyDescent="0.3">
      <c r="B7" s="5" t="s">
        <v>1</v>
      </c>
      <c r="C7" s="6">
        <v>12.5</v>
      </c>
      <c r="E7" s="5" t="s">
        <v>3</v>
      </c>
      <c r="F7">
        <v>-1</v>
      </c>
      <c r="G7">
        <v>-1</v>
      </c>
      <c r="H7" s="6">
        <v>-1</v>
      </c>
      <c r="J7">
        <v>0.6</v>
      </c>
      <c r="K7">
        <f t="shared" si="0"/>
        <v>0.08</v>
      </c>
      <c r="L7">
        <f>($F$14*(($F$3-K7*$F$17-$F$15*$F$10)/($F$9-$F$16+1)))</f>
        <v>1.3748750000255338E-2</v>
      </c>
      <c r="M7">
        <f t="shared" si="2"/>
        <v>0.81402468058143429</v>
      </c>
      <c r="N7">
        <f t="shared" si="3"/>
        <v>0.55126041597156128</v>
      </c>
      <c r="O7">
        <f t="shared" si="4"/>
        <v>7.0497500000510693E-2</v>
      </c>
      <c r="P7">
        <f t="shared" si="5"/>
        <v>0.73393854475042697</v>
      </c>
    </row>
    <row r="8" spans="2:16" x14ac:dyDescent="0.3">
      <c r="B8" s="5" t="s">
        <v>59</v>
      </c>
      <c r="C8" s="6">
        <v>12.5</v>
      </c>
      <c r="E8" s="5" t="s">
        <v>19</v>
      </c>
      <c r="F8" s="12">
        <v>0.05</v>
      </c>
      <c r="G8" s="12">
        <v>0.05</v>
      </c>
      <c r="H8" s="21">
        <v>0.05</v>
      </c>
      <c r="J8">
        <v>0.7</v>
      </c>
      <c r="K8">
        <f t="shared" si="0"/>
        <v>8.4999999999999992E-2</v>
      </c>
      <c r="L8">
        <f t="shared" si="1"/>
        <v>1.3206875000281837E-2</v>
      </c>
      <c r="M8">
        <f t="shared" si="2"/>
        <v>0.85422991852067665</v>
      </c>
      <c r="N8">
        <f t="shared" si="3"/>
        <v>0.53930744510789153</v>
      </c>
      <c r="O8">
        <f t="shared" si="4"/>
        <v>6.9413750000563684E-2</v>
      </c>
      <c r="P8">
        <f t="shared" si="5"/>
        <v>0.69939494801528412</v>
      </c>
    </row>
    <row r="9" spans="2:16" x14ac:dyDescent="0.3">
      <c r="B9" s="5" t="s">
        <v>2</v>
      </c>
      <c r="C9" s="6">
        <v>1</v>
      </c>
      <c r="E9" s="5" t="s">
        <v>18</v>
      </c>
      <c r="F9">
        <v>2</v>
      </c>
      <c r="G9">
        <v>2</v>
      </c>
      <c r="H9" s="6">
        <v>2</v>
      </c>
      <c r="J9">
        <v>0.8</v>
      </c>
      <c r="K9">
        <f t="shared" si="0"/>
        <v>9.0000000000000011E-2</v>
      </c>
      <c r="L9">
        <f t="shared" si="1"/>
        <v>1.2665000000308332E-2</v>
      </c>
      <c r="M9">
        <f t="shared" si="2"/>
        <v>0.89576422164450265</v>
      </c>
      <c r="N9">
        <f t="shared" si="3"/>
        <v>0.52749175692984562</v>
      </c>
      <c r="O9">
        <f t="shared" si="4"/>
        <v>6.8330000000616675E-2</v>
      </c>
      <c r="P9">
        <f t="shared" si="5"/>
        <v>0.66696578744799828</v>
      </c>
    </row>
    <row r="10" spans="2:16" x14ac:dyDescent="0.3">
      <c r="B10" s="7" t="s">
        <v>15</v>
      </c>
      <c r="C10" s="10">
        <f>1-0.374</f>
        <v>0.626</v>
      </c>
      <c r="D10" s="11"/>
      <c r="E10" s="16" t="s">
        <v>20</v>
      </c>
      <c r="F10" s="17">
        <f>($C$5-(F9*$C$3))/100</f>
        <v>4.300000000000001E-2</v>
      </c>
      <c r="G10" s="17">
        <f>($C$5-(G9*$C$3))/100</f>
        <v>4.300000000000001E-2</v>
      </c>
      <c r="H10" s="18">
        <f>($C$5-(H9*$C$3))/100</f>
        <v>4.300000000000001E-2</v>
      </c>
    </row>
    <row r="11" spans="2:16" x14ac:dyDescent="0.3">
      <c r="J11" s="22" t="s">
        <v>42</v>
      </c>
      <c r="K11" s="22"/>
      <c r="L11" s="22"/>
      <c r="M11" s="22"/>
      <c r="N11" s="22"/>
      <c r="O11" s="22"/>
      <c r="P11" s="22"/>
    </row>
    <row r="12" spans="2:16" x14ac:dyDescent="0.3">
      <c r="J12" s="1" t="s">
        <v>23</v>
      </c>
      <c r="K12" s="1" t="s">
        <v>24</v>
      </c>
      <c r="L12" s="1" t="s">
        <v>40</v>
      </c>
      <c r="M12" t="s">
        <v>38</v>
      </c>
      <c r="N12" s="1" t="s">
        <v>50</v>
      </c>
      <c r="O12" t="s">
        <v>29</v>
      </c>
      <c r="P12" t="s">
        <v>30</v>
      </c>
    </row>
    <row r="13" spans="2:16" x14ac:dyDescent="0.3">
      <c r="E13" s="23" t="s">
        <v>31</v>
      </c>
      <c r="F13" s="25"/>
      <c r="G13" s="25"/>
      <c r="H13" s="24"/>
      <c r="J13">
        <v>0.2</v>
      </c>
      <c r="K13">
        <f>$G$8+($G$8*J13)</f>
        <v>6.0000000000000005E-2</v>
      </c>
      <c r="L13">
        <f>($G$14*(($G$3-K13*$G$17-$G$15*$G$10)/($G$9-$G$16+1)))</f>
        <v>1.6239473684286659E-2</v>
      </c>
      <c r="M13">
        <f t="shared" ref="M13:M19" si="6">$G$20*(((L13*$G$21)+$G$10+K13)/((L13*$G$22)+$G$10))</f>
        <v>0.66483048104561193</v>
      </c>
      <c r="N13">
        <f>((1+M13)^-1)</f>
        <v>0.60066175588756687</v>
      </c>
      <c r="O13">
        <f>(($G$9*L13)+$G$10)</f>
        <v>7.5478947368573329E-2</v>
      </c>
      <c r="P13">
        <f>($G$19*M13)^(1/$G$7)</f>
        <v>0.89864124237691234</v>
      </c>
    </row>
    <row r="14" spans="2:16" x14ac:dyDescent="0.3">
      <c r="E14" s="5" t="s">
        <v>25</v>
      </c>
      <c r="F14">
        <f>(1-$F$6)/$F$6</f>
        <v>0.8793103447177939</v>
      </c>
      <c r="G14">
        <f>(1-$G$6)/$G$6</f>
        <v>0.40476190473913226</v>
      </c>
      <c r="H14" s="6">
        <f>(1-$H$6)/$H$6</f>
        <v>0.22368421052597556</v>
      </c>
      <c r="J14">
        <v>0.3</v>
      </c>
      <c r="K14">
        <f t="shared" ref="K14:K19" si="7">$G$8+($G$8*J14)</f>
        <v>6.5000000000000002E-2</v>
      </c>
      <c r="L14">
        <f t="shared" ref="L14:L19" si="8">($G$14*(($G$3-K14*$G$17-$G$15*$G$10)/($G$9-$G$16+1)))</f>
        <v>1.5859210526405241E-2</v>
      </c>
      <c r="M14">
        <f t="shared" si="6"/>
        <v>0.69988431924364591</v>
      </c>
      <c r="N14">
        <f t="shared" ref="N14:N19" si="9">((1+M14)^-1)</f>
        <v>0.58827532478500921</v>
      </c>
      <c r="O14">
        <f t="shared" ref="O14:O19" si="10">(($G$9*L14)+$G$10)</f>
        <v>7.4718421052810485E-2</v>
      </c>
      <c r="P14">
        <f t="shared" ref="P14:P19" si="11">($G$19*M14)^(1/$G$7)</f>
        <v>0.85363262617816249</v>
      </c>
    </row>
    <row r="15" spans="2:16" x14ac:dyDescent="0.3">
      <c r="E15" s="5" t="s">
        <v>27</v>
      </c>
      <c r="F15">
        <f>$F$6/(1-$F$6)</f>
        <v>1.137254902102784</v>
      </c>
      <c r="G15">
        <f>$G$6/(1-$G$6)</f>
        <v>2.4705882354331163</v>
      </c>
      <c r="H15" s="6">
        <f>$H$6/(1-$H$6)</f>
        <v>4.4705882353009176</v>
      </c>
      <c r="J15">
        <v>0.4</v>
      </c>
      <c r="K15">
        <f t="shared" si="7"/>
        <v>7.0000000000000007E-2</v>
      </c>
      <c r="L15">
        <f t="shared" si="8"/>
        <v>1.5478947368523814E-2</v>
      </c>
      <c r="M15">
        <f t="shared" si="6"/>
        <v>0.73589476079674054</v>
      </c>
      <c r="N15">
        <f t="shared" si="9"/>
        <v>0.57607178878806009</v>
      </c>
      <c r="O15">
        <f t="shared" si="10"/>
        <v>7.3957894737047641E-2</v>
      </c>
      <c r="P15">
        <f t="shared" si="11"/>
        <v>0.81186077314917504</v>
      </c>
    </row>
    <row r="16" spans="2:16" x14ac:dyDescent="0.3">
      <c r="E16" s="5" t="s">
        <v>26</v>
      </c>
      <c r="F16">
        <f>(1-2*$F$6)/(1-$F$6)</f>
        <v>-0.13725490210278404</v>
      </c>
      <c r="G16">
        <f>(1-2*$G$6)/(1-$G$6)</f>
        <v>-1.4705882354331166</v>
      </c>
      <c r="H16" s="6">
        <f>(1-2*$H$6)/(1-$H$6)</f>
        <v>-3.4705882353009172</v>
      </c>
      <c r="J16">
        <v>0.5</v>
      </c>
      <c r="K16">
        <f t="shared" si="7"/>
        <v>7.5000000000000011E-2</v>
      </c>
      <c r="L16">
        <f t="shared" si="8"/>
        <v>1.5098684210642387E-2</v>
      </c>
      <c r="M16">
        <f t="shared" si="6"/>
        <v>0.77290150530485868</v>
      </c>
      <c r="N16">
        <f t="shared" si="9"/>
        <v>0.56404712670602952</v>
      </c>
      <c r="O16">
        <f t="shared" si="10"/>
        <v>7.3197368421284784E-2</v>
      </c>
      <c r="P16">
        <f t="shared" si="11"/>
        <v>0.77298864778535625</v>
      </c>
    </row>
    <row r="17" spans="5:16" x14ac:dyDescent="0.3">
      <c r="E17" s="5" t="s">
        <v>28</v>
      </c>
      <c r="F17">
        <f>$F$3/$F$4</f>
        <v>0.38666666671354016</v>
      </c>
      <c r="G17">
        <f>$G$3/$G$4</f>
        <v>0.84000000004396658</v>
      </c>
      <c r="H17" s="6">
        <f>$H$3/$H$4</f>
        <v>1.5200000000021687</v>
      </c>
      <c r="J17">
        <v>0.6</v>
      </c>
      <c r="K17">
        <f t="shared" si="7"/>
        <v>0.08</v>
      </c>
      <c r="L17">
        <f t="shared" si="8"/>
        <v>1.4718421052760966E-2</v>
      </c>
      <c r="M17">
        <f t="shared" si="6"/>
        <v>0.81094647992516478</v>
      </c>
      <c r="N17">
        <f t="shared" si="9"/>
        <v>0.55219743437217639</v>
      </c>
      <c r="O17">
        <f t="shared" si="10"/>
        <v>7.243684210552194E-2</v>
      </c>
      <c r="P17">
        <f t="shared" si="11"/>
        <v>0.7367244377360167</v>
      </c>
    </row>
    <row r="18" spans="5:16" x14ac:dyDescent="0.3">
      <c r="E18" s="5" t="s">
        <v>32</v>
      </c>
      <c r="F18">
        <f>(1-$F$6)/(1-$F$5)</f>
        <v>1.1143549629946963</v>
      </c>
      <c r="G18">
        <f>(1-$G$6)/(1-$G$5)</f>
        <v>0.65951620262887645</v>
      </c>
      <c r="H18" s="6">
        <f>(1-$H$6)/(1-$H$5)</f>
        <v>0.48595930721345088</v>
      </c>
      <c r="J18">
        <v>0.7</v>
      </c>
      <c r="K18">
        <f t="shared" si="7"/>
        <v>8.4999999999999992E-2</v>
      </c>
      <c r="L18">
        <f t="shared" si="8"/>
        <v>1.4338157894879548E-2</v>
      </c>
      <c r="M18">
        <f t="shared" si="6"/>
        <v>0.85007399783100235</v>
      </c>
      <c r="N18">
        <f t="shared" si="9"/>
        <v>0.54051892041744509</v>
      </c>
      <c r="O18">
        <f t="shared" si="10"/>
        <v>7.167631578975911E-2</v>
      </c>
      <c r="P18">
        <f t="shared" si="11"/>
        <v>0.70281421497572139</v>
      </c>
    </row>
    <row r="19" spans="5:16" x14ac:dyDescent="0.3">
      <c r="E19" s="5" t="s">
        <v>33</v>
      </c>
      <c r="F19">
        <f>C10/(1-C10)</f>
        <v>1.6737967914438503</v>
      </c>
      <c r="G19">
        <f>$C$10/(1-$C$10)</f>
        <v>1.6737967914438503</v>
      </c>
      <c r="H19" s="6">
        <f>$C$10/(1-$C$10)</f>
        <v>1.6737967914438503</v>
      </c>
      <c r="J19">
        <v>0.8</v>
      </c>
      <c r="K19">
        <f t="shared" si="7"/>
        <v>9.0000000000000011E-2</v>
      </c>
      <c r="L19">
        <f t="shared" si="8"/>
        <v>1.3957894736998122E-2</v>
      </c>
      <c r="M19">
        <f t="shared" si="6"/>
        <v>0.8903309303926098</v>
      </c>
      <c r="N19">
        <f t="shared" si="9"/>
        <v>0.52900790222604377</v>
      </c>
      <c r="O19">
        <f t="shared" si="10"/>
        <v>7.0915789473996252E-2</v>
      </c>
      <c r="P19">
        <f t="shared" si="11"/>
        <v>0.67103598118669616</v>
      </c>
    </row>
    <row r="20" spans="5:16" x14ac:dyDescent="0.3">
      <c r="E20" s="5" t="s">
        <v>34</v>
      </c>
      <c r="F20">
        <f>F18*F17</f>
        <v>0.43088391907684959</v>
      </c>
      <c r="G20">
        <f>G18*G17</f>
        <v>0.55399361023725291</v>
      </c>
      <c r="H20" s="6">
        <f>H18*H17</f>
        <v>0.73865814696549925</v>
      </c>
    </row>
    <row r="21" spans="5:16" x14ac:dyDescent="0.3">
      <c r="E21" s="5" t="s">
        <v>35</v>
      </c>
      <c r="F21">
        <f>F9-1</f>
        <v>1</v>
      </c>
      <c r="G21">
        <f>G9-1</f>
        <v>1</v>
      </c>
      <c r="H21" s="6">
        <f>H9-1</f>
        <v>1</v>
      </c>
      <c r="J21" s="22" t="s">
        <v>48</v>
      </c>
      <c r="K21" s="22"/>
      <c r="L21" s="22"/>
      <c r="M21" s="22"/>
      <c r="N21" s="22"/>
      <c r="O21" s="22"/>
      <c r="P21" s="22"/>
    </row>
    <row r="22" spans="5:16" x14ac:dyDescent="0.3">
      <c r="E22" s="7" t="s">
        <v>36</v>
      </c>
      <c r="F22" s="8">
        <f>F9-F16</f>
        <v>2.137254902102784</v>
      </c>
      <c r="G22" s="8">
        <f>G9-G16</f>
        <v>3.4705882354331168</v>
      </c>
      <c r="H22" s="9">
        <f>H9-H16</f>
        <v>5.4705882353009176</v>
      </c>
      <c r="J22" s="1" t="s">
        <v>23</v>
      </c>
      <c r="K22" s="1" t="s">
        <v>24</v>
      </c>
      <c r="L22" s="1" t="s">
        <v>40</v>
      </c>
      <c r="M22" t="s">
        <v>38</v>
      </c>
      <c r="N22" s="1" t="s">
        <v>50</v>
      </c>
      <c r="O22" t="s">
        <v>29</v>
      </c>
      <c r="P22" t="s">
        <v>30</v>
      </c>
    </row>
    <row r="23" spans="5:16" x14ac:dyDescent="0.3">
      <c r="J23">
        <v>0.2</v>
      </c>
      <c r="K23">
        <f>$H$8+($H$8*J23)</f>
        <v>6.0000000000000005E-2</v>
      </c>
      <c r="L23">
        <f>($H$14*(($H$3-K23*$H$17-$H$15*$H$10)/($H$9-$H$16+1)))</f>
        <v>1.6474545454547344E-2</v>
      </c>
      <c r="M23">
        <f t="shared" ref="M23:M29" si="12">$H$20*(((L23*$H$21)+$H$10+K23)/((L23*$H$22)+$H$10))</f>
        <v>0.66291489224389943</v>
      </c>
      <c r="N23">
        <f>((1+M23)^-1)</f>
        <v>0.60135368602696371</v>
      </c>
      <c r="O23">
        <f>(($H$9*L23)+$H$10)</f>
        <v>7.5949090909094699E-2</v>
      </c>
      <c r="P23">
        <f>($H$19*M23)^(1/$H$7)</f>
        <v>0.90123799668247251</v>
      </c>
    </row>
    <row r="24" spans="5:16" x14ac:dyDescent="0.3">
      <c r="J24">
        <v>0.3</v>
      </c>
      <c r="K24">
        <f t="shared" ref="K24:K29" si="13">$H$8+($H$8*J24)</f>
        <v>6.5000000000000002E-2</v>
      </c>
      <c r="L24">
        <f t="shared" ref="L24:L29" si="14">($H$14*(($H$3-K24*$H$17-$H$15*$H$10)/($H$9-$H$16+1)))</f>
        <v>1.6211818181820374E-2</v>
      </c>
      <c r="M24">
        <f t="shared" si="12"/>
        <v>0.69672213696435226</v>
      </c>
      <c r="N24">
        <f t="shared" ref="N24:N29" si="15">((1+M24)^-1)</f>
        <v>0.58937169393518074</v>
      </c>
      <c r="O24">
        <f t="shared" ref="O24:O29" si="16">(($H$9*L24)+$H$10)</f>
        <v>7.5423636363640759E-2</v>
      </c>
      <c r="P24">
        <f t="shared" ref="P24:P29" si="17">($H$19*M24)^(1/$H$7)</f>
        <v>0.85750697122953223</v>
      </c>
    </row>
    <row r="25" spans="5:16" x14ac:dyDescent="0.3">
      <c r="J25">
        <v>0.4</v>
      </c>
      <c r="K25">
        <f t="shared" si="13"/>
        <v>7.0000000000000007E-2</v>
      </c>
      <c r="L25">
        <f t="shared" si="14"/>
        <v>1.5949090909093404E-2</v>
      </c>
      <c r="M25">
        <f t="shared" si="12"/>
        <v>0.73127548366843076</v>
      </c>
      <c r="N25">
        <f t="shared" si="15"/>
        <v>0.57760882622855725</v>
      </c>
      <c r="O25">
        <f t="shared" si="16"/>
        <v>7.4898181818186818E-2</v>
      </c>
      <c r="P25">
        <f t="shared" si="17"/>
        <v>0.81698908660222158</v>
      </c>
    </row>
    <row r="26" spans="5:16" x14ac:dyDescent="0.3">
      <c r="J26">
        <v>0.5</v>
      </c>
      <c r="K26">
        <f t="shared" si="13"/>
        <v>7.5000000000000011E-2</v>
      </c>
      <c r="L26">
        <f t="shared" si="14"/>
        <v>1.568636363636643E-2</v>
      </c>
      <c r="M26">
        <f t="shared" si="12"/>
        <v>0.76659990685564716</v>
      </c>
      <c r="N26">
        <f t="shared" si="15"/>
        <v>0.56605912641526712</v>
      </c>
      <c r="O26">
        <f t="shared" si="16"/>
        <v>7.4372727272732864E-2</v>
      </c>
      <c r="P26">
        <f t="shared" si="17"/>
        <v>0.77934276291187876</v>
      </c>
    </row>
    <row r="27" spans="5:16" x14ac:dyDescent="0.3">
      <c r="J27">
        <v>0.6</v>
      </c>
      <c r="K27">
        <f t="shared" si="13"/>
        <v>0.08</v>
      </c>
      <c r="L27">
        <f t="shared" si="14"/>
        <v>1.5423636363639462E-2</v>
      </c>
      <c r="M27">
        <f t="shared" si="12"/>
        <v>0.80272150824145805</v>
      </c>
      <c r="N27">
        <f t="shared" si="15"/>
        <v>0.55471685195318543</v>
      </c>
      <c r="O27">
        <f t="shared" si="16"/>
        <v>7.3847272727278937E-2</v>
      </c>
      <c r="P27">
        <f t="shared" si="17"/>
        <v>0.74427317983008145</v>
      </c>
    </row>
    <row r="28" spans="5:16" x14ac:dyDescent="0.3">
      <c r="J28">
        <v>0.7</v>
      </c>
      <c r="K28">
        <f t="shared" si="13"/>
        <v>8.4999999999999992E-2</v>
      </c>
      <c r="L28">
        <f t="shared" si="14"/>
        <v>1.5160909090912486E-2</v>
      </c>
      <c r="M28">
        <f t="shared" si="12"/>
        <v>0.83966758107870565</v>
      </c>
      <c r="N28">
        <f t="shared" si="15"/>
        <v>0.54357646472937304</v>
      </c>
      <c r="O28">
        <f t="shared" si="16"/>
        <v>7.3321818181824983E-2</v>
      </c>
      <c r="P28">
        <f t="shared" si="17"/>
        <v>0.71152454009161992</v>
      </c>
    </row>
    <row r="29" spans="5:16" x14ac:dyDescent="0.3">
      <c r="J29">
        <v>0.8</v>
      </c>
      <c r="K29">
        <f t="shared" si="13"/>
        <v>9.0000000000000011E-2</v>
      </c>
      <c r="L29">
        <f t="shared" si="14"/>
        <v>1.4898181818185512E-2</v>
      </c>
      <c r="M29">
        <f t="shared" si="12"/>
        <v>0.87746667893428976</v>
      </c>
      <c r="N29">
        <f t="shared" si="15"/>
        <v>0.53263262204346129</v>
      </c>
      <c r="O29">
        <f t="shared" si="16"/>
        <v>7.2796363636371042E-2</v>
      </c>
      <c r="P29">
        <f t="shared" si="17"/>
        <v>0.68087381982696271</v>
      </c>
    </row>
  </sheetData>
  <mergeCells count="5">
    <mergeCell ref="J1:P1"/>
    <mergeCell ref="B2:C2"/>
    <mergeCell ref="E13:H13"/>
    <mergeCell ref="J11:P11"/>
    <mergeCell ref="J21:P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57CA-EEC5-4DFF-B87E-2347E92F33B5}">
  <dimension ref="B1:P29"/>
  <sheetViews>
    <sheetView workbookViewId="0">
      <selection activeCell="B21" sqref="B21"/>
    </sheetView>
  </sheetViews>
  <sheetFormatPr defaultRowHeight="14.4" x14ac:dyDescent="0.3"/>
  <cols>
    <col min="2" max="2" width="13" customWidth="1"/>
    <col min="3" max="3" width="12" bestFit="1" customWidth="1"/>
    <col min="4" max="4" width="16" customWidth="1"/>
    <col min="5" max="5" width="23.33203125" bestFit="1" customWidth="1"/>
    <col min="6" max="8" width="20.88671875" bestFit="1" customWidth="1"/>
    <col min="11" max="12" width="12" bestFit="1" customWidth="1"/>
    <col min="13" max="13" width="14.109375" bestFit="1" customWidth="1"/>
    <col min="14" max="14" width="13.88671875" bestFit="1" customWidth="1"/>
    <col min="16" max="16" width="12" bestFit="1" customWidth="1"/>
  </cols>
  <sheetData>
    <row r="1" spans="2:16" x14ac:dyDescent="0.3">
      <c r="J1" s="22" t="s">
        <v>41</v>
      </c>
      <c r="K1" s="22"/>
      <c r="L1" s="22"/>
      <c r="M1" s="22"/>
      <c r="N1" s="22"/>
      <c r="O1" s="22"/>
      <c r="P1" s="22"/>
    </row>
    <row r="2" spans="2:16" x14ac:dyDescent="0.3">
      <c r="B2" s="23" t="s">
        <v>43</v>
      </c>
      <c r="C2" s="24"/>
      <c r="E2" s="2" t="s">
        <v>12</v>
      </c>
      <c r="F2" s="3" t="s">
        <v>21</v>
      </c>
      <c r="G2" s="3" t="s">
        <v>22</v>
      </c>
      <c r="H2" s="4" t="s">
        <v>49</v>
      </c>
      <c r="J2" s="1" t="s">
        <v>23</v>
      </c>
      <c r="K2" s="1" t="s">
        <v>24</v>
      </c>
      <c r="L2" s="1" t="s">
        <v>40</v>
      </c>
      <c r="M2" t="s">
        <v>38</v>
      </c>
      <c r="N2" s="1" t="s">
        <v>50</v>
      </c>
      <c r="O2" t="s">
        <v>29</v>
      </c>
      <c r="P2" t="s">
        <v>30</v>
      </c>
    </row>
    <row r="3" spans="2:16" x14ac:dyDescent="0.3">
      <c r="B3" s="5" t="s">
        <v>47</v>
      </c>
      <c r="C3" s="6">
        <v>1.7</v>
      </c>
      <c r="E3" s="13" t="s">
        <v>13</v>
      </c>
      <c r="F3" s="14">
        <v>0.12888888890800099</v>
      </c>
      <c r="G3" s="14">
        <v>0.33600000002512398</v>
      </c>
      <c r="H3" s="15">
        <v>0.76000000000170298</v>
      </c>
      <c r="J3">
        <v>0.2</v>
      </c>
      <c r="K3">
        <f>$F$8+($F$8*J3)</f>
        <v>6.0000000000000005E-2</v>
      </c>
      <c r="L3">
        <f>($F$14*(($F$3-K3*$F$17-$F$15*$F$10)/($F$9-$F$16+1)))</f>
        <v>1.5710780669333707E-2</v>
      </c>
      <c r="M3">
        <f>$F$20*(((L3*$F$21)+$F$10+K3)/((L3*$F$22)+$F$10))</f>
        <v>0.66597537344173474</v>
      </c>
      <c r="N3">
        <f>((1+M3)^-1)</f>
        <v>0.60024896882725354</v>
      </c>
      <c r="O3">
        <f>(($F$9*L3)+$F$10)</f>
        <v>7.5066171004000565E-2</v>
      </c>
      <c r="P3">
        <f>($F$19*M3)^(1/$F$7)</f>
        <v>0.89709636914845858</v>
      </c>
    </row>
    <row r="4" spans="2:16" x14ac:dyDescent="0.3">
      <c r="B4" s="5" t="s">
        <v>37</v>
      </c>
      <c r="C4" s="6">
        <v>0.597444089456869</v>
      </c>
      <c r="E4" s="13" t="s">
        <v>14</v>
      </c>
      <c r="F4" s="14">
        <v>0.33333333334235299</v>
      </c>
      <c r="G4" s="14">
        <v>0.40000000000897301</v>
      </c>
      <c r="H4" s="15">
        <v>0.50000000000040701</v>
      </c>
      <c r="J4">
        <v>0.3</v>
      </c>
      <c r="K4">
        <f t="shared" ref="K4:K9" si="0">$F$8+($F$8*J4)</f>
        <v>6.5000000000000002E-2</v>
      </c>
      <c r="L4">
        <f t="shared" ref="L4:L9" si="1">($F$14*(($F$3-K4*$F$17-$F$15*$F$10)/($F$9-$F$16+1)))</f>
        <v>1.5066171003943257E-2</v>
      </c>
      <c r="M4">
        <f t="shared" ref="M4:M9" si="2">$F$20*(((L4*$F$21)+$F$10+K4)/((L4*$F$22)+$F$10))</f>
        <v>0.70166539411358064</v>
      </c>
      <c r="N4">
        <f t="shared" ref="N4:N9" si="3">((1+M4)^-1)</f>
        <v>0.58765959715653315</v>
      </c>
      <c r="O4">
        <f t="shared" ref="O4:O9" si="4">(($F$9*L4)+$F$10)</f>
        <v>7.4099256505914896E-2</v>
      </c>
      <c r="P4">
        <f t="shared" ref="P4:P9" si="5">($F$19*M4)^(1/$F$7)</f>
        <v>0.85146580473962918</v>
      </c>
    </row>
    <row r="5" spans="2:16" x14ac:dyDescent="0.3">
      <c r="B5" s="5" t="s">
        <v>0</v>
      </c>
      <c r="C5" s="6">
        <v>7.7</v>
      </c>
      <c r="E5" s="13" t="s">
        <v>16</v>
      </c>
      <c r="F5" s="14">
        <v>0.58012489398495104</v>
      </c>
      <c r="G5" s="14">
        <v>0.56311066800137599</v>
      </c>
      <c r="H5" s="15">
        <v>0.62384566729943602</v>
      </c>
      <c r="J5">
        <v>0.4</v>
      </c>
      <c r="K5">
        <f t="shared" si="0"/>
        <v>7.0000000000000007E-2</v>
      </c>
      <c r="L5">
        <f t="shared" si="1"/>
        <v>1.44215613385528E-2</v>
      </c>
      <c r="M5">
        <f t="shared" si="2"/>
        <v>0.7383583708296565</v>
      </c>
      <c r="N5">
        <f t="shared" si="3"/>
        <v>0.57525537701569307</v>
      </c>
      <c r="O5">
        <f t="shared" si="4"/>
        <v>7.3132342007829199E-2</v>
      </c>
      <c r="P5">
        <f t="shared" si="5"/>
        <v>0.80915191465297653</v>
      </c>
    </row>
    <row r="6" spans="2:16" x14ac:dyDescent="0.3">
      <c r="B6" s="5" t="s">
        <v>39</v>
      </c>
      <c r="C6" s="6">
        <v>1</v>
      </c>
      <c r="E6" s="13" t="s">
        <v>17</v>
      </c>
      <c r="F6" s="14">
        <v>0.53211009177420598</v>
      </c>
      <c r="G6" s="14">
        <v>0.711864406791201</v>
      </c>
      <c r="H6" s="15">
        <v>0.81720430107549602</v>
      </c>
      <c r="J6">
        <v>0.5</v>
      </c>
      <c r="K6">
        <f t="shared" si="0"/>
        <v>7.5000000000000011E-2</v>
      </c>
      <c r="L6">
        <f t="shared" si="1"/>
        <v>1.3776951673162339E-2</v>
      </c>
      <c r="M6">
        <f t="shared" si="2"/>
        <v>0.77609718349138368</v>
      </c>
      <c r="N6">
        <f t="shared" si="3"/>
        <v>0.56303225369359489</v>
      </c>
      <c r="O6">
        <f t="shared" si="4"/>
        <v>7.2165427509743515E-2</v>
      </c>
      <c r="P6">
        <f t="shared" si="5"/>
        <v>0.76980576938725853</v>
      </c>
    </row>
    <row r="7" spans="2:16" x14ac:dyDescent="0.3">
      <c r="B7" s="5" t="s">
        <v>1</v>
      </c>
      <c r="C7" s="6">
        <v>12.5</v>
      </c>
      <c r="E7" s="5" t="s">
        <v>3</v>
      </c>
      <c r="F7">
        <v>-1</v>
      </c>
      <c r="G7">
        <v>-1</v>
      </c>
      <c r="H7" s="6">
        <v>-1</v>
      </c>
      <c r="J7">
        <v>0.6</v>
      </c>
      <c r="K7">
        <f t="shared" si="0"/>
        <v>0.08</v>
      </c>
      <c r="L7">
        <f t="shared" si="1"/>
        <v>1.3132342007771884E-2</v>
      </c>
      <c r="M7">
        <f t="shared" si="2"/>
        <v>0.81492719169437289</v>
      </c>
      <c r="N7">
        <f t="shared" si="3"/>
        <v>0.55098629001553712</v>
      </c>
      <c r="O7">
        <f t="shared" si="4"/>
        <v>7.1198513011657832E-2</v>
      </c>
      <c r="P7">
        <f t="shared" si="5"/>
        <v>0.73312572650162844</v>
      </c>
    </row>
    <row r="8" spans="2:16" x14ac:dyDescent="0.3">
      <c r="B8" s="5" t="s">
        <v>59</v>
      </c>
      <c r="C8" s="6">
        <v>12.5</v>
      </c>
      <c r="E8" s="5" t="s">
        <v>19</v>
      </c>
      <c r="F8" s="12">
        <v>0.05</v>
      </c>
      <c r="G8" s="12">
        <v>0.05</v>
      </c>
      <c r="H8" s="12">
        <v>0.05</v>
      </c>
      <c r="J8">
        <v>0.7</v>
      </c>
      <c r="K8">
        <f t="shared" si="0"/>
        <v>8.4999999999999992E-2</v>
      </c>
      <c r="L8">
        <f t="shared" si="1"/>
        <v>1.248773234238143E-2</v>
      </c>
      <c r="M8">
        <f t="shared" si="2"/>
        <v>0.85489641660509608</v>
      </c>
      <c r="N8">
        <f t="shared" si="3"/>
        <v>0.53911366211501943</v>
      </c>
      <c r="O8">
        <f t="shared" si="4"/>
        <v>7.0231598513572149E-2</v>
      </c>
      <c r="P8">
        <f t="shared" si="5"/>
        <v>0.69884968266611358</v>
      </c>
    </row>
    <row r="9" spans="2:16" x14ac:dyDescent="0.3">
      <c r="B9" s="5" t="s">
        <v>2</v>
      </c>
      <c r="C9" s="6">
        <v>1</v>
      </c>
      <c r="E9" s="5" t="s">
        <v>18</v>
      </c>
      <c r="F9">
        <v>1.5</v>
      </c>
      <c r="G9">
        <v>1.5</v>
      </c>
      <c r="H9">
        <v>1.5</v>
      </c>
      <c r="J9">
        <v>0.8</v>
      </c>
      <c r="K9">
        <f t="shared" si="0"/>
        <v>9.0000000000000011E-2</v>
      </c>
      <c r="L9">
        <f t="shared" si="1"/>
        <v>1.184312267699097E-2</v>
      </c>
      <c r="M9">
        <f t="shared" si="2"/>
        <v>0.89605573908388059</v>
      </c>
      <c r="N9">
        <f t="shared" si="3"/>
        <v>0.52741065538672993</v>
      </c>
      <c r="O9">
        <f t="shared" si="4"/>
        <v>6.9264684015486466E-2</v>
      </c>
      <c r="P9">
        <f t="shared" si="5"/>
        <v>0.66674880076957099</v>
      </c>
    </row>
    <row r="10" spans="2:16" x14ac:dyDescent="0.3">
      <c r="B10" s="7" t="s">
        <v>15</v>
      </c>
      <c r="C10" s="10">
        <v>0.626</v>
      </c>
      <c r="D10" s="11"/>
      <c r="E10" s="16" t="s">
        <v>20</v>
      </c>
      <c r="F10" s="17">
        <f>($C$5-(F9*$C$3))/100</f>
        <v>5.1500000000000004E-2</v>
      </c>
      <c r="G10" s="17">
        <f>($C$5-(G9*$C$3))/100</f>
        <v>5.1500000000000004E-2</v>
      </c>
      <c r="H10" s="17">
        <f>($C$5-(H9*$C$3))/100</f>
        <v>5.1500000000000004E-2</v>
      </c>
    </row>
    <row r="11" spans="2:16" x14ac:dyDescent="0.3">
      <c r="J11" s="22" t="s">
        <v>42</v>
      </c>
      <c r="K11" s="22"/>
      <c r="L11" s="22"/>
      <c r="M11" s="22"/>
      <c r="N11" s="22"/>
      <c r="O11" s="22"/>
      <c r="P11" s="22"/>
    </row>
    <row r="12" spans="2:16" x14ac:dyDescent="0.3">
      <c r="J12" s="1" t="s">
        <v>23</v>
      </c>
      <c r="K12" s="1" t="s">
        <v>24</v>
      </c>
      <c r="L12" s="1" t="s">
        <v>40</v>
      </c>
      <c r="M12" t="s">
        <v>38</v>
      </c>
      <c r="N12" s="1" t="s">
        <v>50</v>
      </c>
      <c r="O12" t="s">
        <v>29</v>
      </c>
      <c r="P12" t="s">
        <v>30</v>
      </c>
    </row>
    <row r="13" spans="2:16" x14ac:dyDescent="0.3">
      <c r="E13" s="23" t="s">
        <v>31</v>
      </c>
      <c r="F13" s="25"/>
      <c r="G13" s="25"/>
      <c r="H13" s="24"/>
      <c r="J13">
        <v>0.2</v>
      </c>
      <c r="K13">
        <f>$G$8+($G$8*J13)</f>
        <v>6.0000000000000005E-2</v>
      </c>
      <c r="L13">
        <f>($G$14*(($G$3-K13*$G$17-$G$15*$G$10)/($G$9-$G$16+1)))</f>
        <v>1.614370370379278E-2</v>
      </c>
      <c r="M13">
        <f>$G$20*(((L13*$G$21)+$G$10+K13)/((L13*$G$22)+$G$10))</f>
        <v>0.66604171234337473</v>
      </c>
      <c r="N13">
        <f>((1+M13)^-1)</f>
        <v>0.6002250679506983</v>
      </c>
      <c r="O13">
        <f>(($G$9*L13)+$G$10)</f>
        <v>7.5715555555689179E-2</v>
      </c>
      <c r="P13">
        <f>($G$19*M13)^(1/$G$7)</f>
        <v>0.89700701680506678</v>
      </c>
    </row>
    <row r="14" spans="2:16" x14ac:dyDescent="0.3">
      <c r="E14" s="5" t="s">
        <v>25</v>
      </c>
      <c r="F14">
        <f>(1-$F$6)/$F$6</f>
        <v>0.8793103447177939</v>
      </c>
      <c r="G14">
        <f>(1-$G$6)/$G$6</f>
        <v>0.40476190473913226</v>
      </c>
      <c r="H14" s="6">
        <f>(1-$H$6)/$H$6</f>
        <v>0.22368421052597556</v>
      </c>
      <c r="J14">
        <v>0.3</v>
      </c>
      <c r="K14">
        <f t="shared" ref="K14:K19" si="6">$G$8+($G$8*J14)</f>
        <v>6.5000000000000002E-2</v>
      </c>
      <c r="L14">
        <f t="shared" ref="L14:L19" si="7">($G$14*(($G$3-K14*$G$17-$G$15*$G$10)/($G$9-$G$16+1)))</f>
        <v>1.5715555555661301E-2</v>
      </c>
      <c r="M14">
        <f t="shared" ref="M14:M19" si="8">$G$20*(((L14*$G$21)+$G$10+K14)/((L14*$G$22)+$G$10))</f>
        <v>0.70167341334248834</v>
      </c>
      <c r="N14">
        <f t="shared" ref="N14:N19" si="9">((1+M14)^-1)</f>
        <v>0.58765682777858297</v>
      </c>
      <c r="O14">
        <f t="shared" ref="O14:O19" si="10">(($G$9*L14)+$G$10)</f>
        <v>7.5073333333491948E-2</v>
      </c>
      <c r="P14">
        <f t="shared" ref="P14:P19" si="11">($G$19*M14)^(1/$G$7)</f>
        <v>0.85145607357543585</v>
      </c>
    </row>
    <row r="15" spans="2:16" x14ac:dyDescent="0.3">
      <c r="E15" s="5" t="s">
        <v>27</v>
      </c>
      <c r="F15">
        <f>$F$6/(1-$F$6)</f>
        <v>1.137254902102784</v>
      </c>
      <c r="G15">
        <f>$G$6/(1-$G$6)</f>
        <v>2.4705882354331163</v>
      </c>
      <c r="H15" s="6">
        <f>$H$6/(1-$H$6)</f>
        <v>4.4705882353009176</v>
      </c>
      <c r="J15">
        <v>0.4</v>
      </c>
      <c r="K15">
        <f t="shared" si="6"/>
        <v>7.0000000000000007E-2</v>
      </c>
      <c r="L15">
        <f t="shared" si="7"/>
        <v>1.5287407407529817E-2</v>
      </c>
      <c r="M15">
        <f t="shared" si="8"/>
        <v>0.73824035389483633</v>
      </c>
      <c r="N15">
        <f t="shared" si="9"/>
        <v>0.57529443368365163</v>
      </c>
      <c r="O15">
        <f t="shared" si="10"/>
        <v>7.4431111111294732E-2</v>
      </c>
      <c r="P15">
        <f t="shared" si="11"/>
        <v>0.80928126768585729</v>
      </c>
    </row>
    <row r="16" spans="2:16" x14ac:dyDescent="0.3">
      <c r="E16" s="5" t="s">
        <v>26</v>
      </c>
      <c r="F16">
        <f>(1-2*$F$6)/(1-$F$6)</f>
        <v>-0.13725490210278404</v>
      </c>
      <c r="G16">
        <f>(1-2*$G$6)/(1-$G$6)</f>
        <v>-1.4705882354331166</v>
      </c>
      <c r="H16" s="6">
        <f>(1-2*$H$6)/(1-$H$6)</f>
        <v>-3.4705882353009172</v>
      </c>
      <c r="J16">
        <v>0.5</v>
      </c>
      <c r="K16">
        <f t="shared" si="6"/>
        <v>7.5000000000000011E-2</v>
      </c>
      <c r="L16">
        <f t="shared" si="7"/>
        <v>1.4859259259398331E-2</v>
      </c>
      <c r="M16">
        <f t="shared" si="8"/>
        <v>0.77577984507146902</v>
      </c>
      <c r="N16">
        <f t="shared" si="9"/>
        <v>0.56313286963776377</v>
      </c>
      <c r="O16">
        <f t="shared" si="10"/>
        <v>7.3788888889097501E-2</v>
      </c>
      <c r="P16">
        <f t="shared" si="11"/>
        <v>0.77012066406781843</v>
      </c>
    </row>
    <row r="17" spans="5:16" x14ac:dyDescent="0.3">
      <c r="E17" s="5" t="s">
        <v>28</v>
      </c>
      <c r="F17">
        <f>$F$3/$F$4</f>
        <v>0.38666666671354016</v>
      </c>
      <c r="G17">
        <f>$G$3/$G$4</f>
        <v>0.84000000004396658</v>
      </c>
      <c r="H17" s="6">
        <f>$H$3/$H$4</f>
        <v>1.5200000000021687</v>
      </c>
      <c r="J17">
        <v>0.6</v>
      </c>
      <c r="K17">
        <f t="shared" si="6"/>
        <v>0.08</v>
      </c>
      <c r="L17">
        <f t="shared" si="7"/>
        <v>1.4431111111266855E-2</v>
      </c>
      <c r="M17">
        <f t="shared" si="8"/>
        <v>0.81433120937560899</v>
      </c>
      <c r="N17">
        <f t="shared" si="9"/>
        <v>0.55116728127282999</v>
      </c>
      <c r="O17">
        <f t="shared" si="10"/>
        <v>7.3146666666900284E-2</v>
      </c>
      <c r="P17">
        <f t="shared" si="11"/>
        <v>0.73366227718935284</v>
      </c>
    </row>
    <row r="18" spans="5:16" x14ac:dyDescent="0.3">
      <c r="E18" s="5" t="s">
        <v>32</v>
      </c>
      <c r="F18">
        <f>(1-$F$6)/(1-$F$5)</f>
        <v>1.1143549629946963</v>
      </c>
      <c r="G18">
        <f>(1-$G$6)/(1-$G$5)</f>
        <v>0.65951620262887645</v>
      </c>
      <c r="H18" s="6">
        <f>(1-$H$6)/(1-$H$5)</f>
        <v>0.48595930721345088</v>
      </c>
      <c r="J18">
        <v>0.7</v>
      </c>
      <c r="K18">
        <f t="shared" si="6"/>
        <v>8.4999999999999992E-2</v>
      </c>
      <c r="L18">
        <f t="shared" si="7"/>
        <v>1.4002962963135376E-2</v>
      </c>
      <c r="M18">
        <f t="shared" si="8"/>
        <v>0.85393591813927716</v>
      </c>
      <c r="N18">
        <f t="shared" si="9"/>
        <v>0.53939296942024884</v>
      </c>
      <c r="O18">
        <f t="shared" si="10"/>
        <v>7.2504444444703067E-2</v>
      </c>
      <c r="P18">
        <f t="shared" si="11"/>
        <v>0.69963574170611909</v>
      </c>
    </row>
    <row r="19" spans="5:16" x14ac:dyDescent="0.3">
      <c r="E19" s="5" t="s">
        <v>33</v>
      </c>
      <c r="F19">
        <f>C10/(1-C10)</f>
        <v>1.6737967914438503</v>
      </c>
      <c r="G19">
        <f>$C$10/(1-$C$10)</f>
        <v>1.6737967914438503</v>
      </c>
      <c r="H19" s="6">
        <f>$C$10/(1-$C$10)</f>
        <v>1.6737967914438503</v>
      </c>
      <c r="J19">
        <v>0.8</v>
      </c>
      <c r="K19">
        <f t="shared" si="6"/>
        <v>9.0000000000000011E-2</v>
      </c>
      <c r="L19">
        <f t="shared" si="7"/>
        <v>1.357481481500389E-2</v>
      </c>
      <c r="M19">
        <f t="shared" si="8"/>
        <v>0.89463774033823229</v>
      </c>
      <c r="N19">
        <f t="shared" si="9"/>
        <v>0.52780538395771592</v>
      </c>
      <c r="O19">
        <f t="shared" si="10"/>
        <v>7.1862222222505837E-2</v>
      </c>
      <c r="P19">
        <f t="shared" si="11"/>
        <v>0.66780559607399925</v>
      </c>
    </row>
    <row r="20" spans="5:16" x14ac:dyDescent="0.3">
      <c r="E20" s="5" t="s">
        <v>34</v>
      </c>
      <c r="F20">
        <f>F18*F17</f>
        <v>0.43088391907684959</v>
      </c>
      <c r="G20">
        <f>G18*G17</f>
        <v>0.55399361023725291</v>
      </c>
      <c r="H20" s="6">
        <f>H18*H17</f>
        <v>0.73865814696549925</v>
      </c>
    </row>
    <row r="21" spans="5:16" x14ac:dyDescent="0.3">
      <c r="E21" s="5" t="s">
        <v>35</v>
      </c>
      <c r="F21">
        <f>F9-1</f>
        <v>0.5</v>
      </c>
      <c r="G21">
        <f>G9-1</f>
        <v>0.5</v>
      </c>
      <c r="H21" s="6">
        <f>H9-1</f>
        <v>0.5</v>
      </c>
      <c r="J21" s="22" t="s">
        <v>48</v>
      </c>
      <c r="K21" s="22"/>
      <c r="L21" s="22"/>
      <c r="M21" s="22"/>
      <c r="N21" s="22"/>
      <c r="O21" s="22"/>
      <c r="P21" s="22"/>
    </row>
    <row r="22" spans="5:16" x14ac:dyDescent="0.3">
      <c r="E22" s="7" t="s">
        <v>36</v>
      </c>
      <c r="F22" s="8">
        <f>F9-F16</f>
        <v>1.637254902102784</v>
      </c>
      <c r="G22" s="8">
        <f>G9-G16</f>
        <v>2.9705882354331168</v>
      </c>
      <c r="H22" s="9">
        <f>H9-H16</f>
        <v>4.9705882353009176</v>
      </c>
      <c r="J22" s="1" t="s">
        <v>23</v>
      </c>
      <c r="K22" s="1" t="s">
        <v>24</v>
      </c>
      <c r="L22" s="1" t="s">
        <v>40</v>
      </c>
      <c r="M22" t="s">
        <v>38</v>
      </c>
      <c r="N22" s="1" t="s">
        <v>50</v>
      </c>
      <c r="O22" t="s">
        <v>29</v>
      </c>
      <c r="P22" t="s">
        <v>30</v>
      </c>
    </row>
    <row r="23" spans="5:16" x14ac:dyDescent="0.3">
      <c r="J23">
        <v>0.2</v>
      </c>
      <c r="K23">
        <f>$H$8+($H$8*J23)</f>
        <v>6.0000000000000005E-2</v>
      </c>
      <c r="L23">
        <f>($H$14*(($H$3-K23*$H$17-$H$15*$H$10)/($H$9-$H$16+1)))</f>
        <v>1.6430541871923283E-2</v>
      </c>
      <c r="M23">
        <f>$H$20*(((L23*$H$21)+$H$10+K23)/((L23*$H$22)+$H$10))</f>
        <v>0.66403108817864742</v>
      </c>
      <c r="N23">
        <f>((1+M23)^-1)</f>
        <v>0.60095031102726715</v>
      </c>
      <c r="O23">
        <f>(($H$9*L23)+$H$10)</f>
        <v>7.6145812807884933E-2</v>
      </c>
      <c r="P23">
        <f>($H$19*M23)^(1/$H$7)</f>
        <v>0.89972307033934495</v>
      </c>
    </row>
    <row r="24" spans="5:16" x14ac:dyDescent="0.3">
      <c r="J24">
        <v>0.3</v>
      </c>
      <c r="K24">
        <f t="shared" ref="K24:K29" si="12">$H$8+($H$8*J24)</f>
        <v>6.5000000000000002E-2</v>
      </c>
      <c r="L24">
        <f t="shared" ref="L24:L29" si="13">($H$14*(($H$3-K24*$H$17-$H$15*$H$10)/($H$9-$H$16+1)))</f>
        <v>1.6145812807884227E-2</v>
      </c>
      <c r="M24">
        <f t="shared" ref="M24:M29" si="14">$H$20*(((L24*$H$21)+$H$10+K24)/((L24*$H$22)+$H$10))</f>
        <v>0.69839747917978789</v>
      </c>
      <c r="N24">
        <f t="shared" ref="N24:N29" si="15">((1+M24)^-1)</f>
        <v>0.58879032279471644</v>
      </c>
      <c r="O24">
        <f t="shared" ref="O24:O29" si="16">(($H$9*L24)+$H$10)</f>
        <v>7.5718719211826352E-2</v>
      </c>
      <c r="P24">
        <f t="shared" ref="P24:P29" si="17">($H$19*M24)^(1/$H$7)</f>
        <v>0.85544995116322498</v>
      </c>
    </row>
    <row r="25" spans="5:16" x14ac:dyDescent="0.3">
      <c r="J25">
        <v>0.4</v>
      </c>
      <c r="K25">
        <f t="shared" si="12"/>
        <v>7.0000000000000007E-2</v>
      </c>
      <c r="L25">
        <f t="shared" si="13"/>
        <v>1.5861083743845168E-2</v>
      </c>
      <c r="M25">
        <f t="shared" si="14"/>
        <v>0.73351019761336089</v>
      </c>
      <c r="N25">
        <f t="shared" si="15"/>
        <v>0.57686421538031141</v>
      </c>
      <c r="O25">
        <f t="shared" si="16"/>
        <v>7.5291625615767757E-2</v>
      </c>
      <c r="P25">
        <f t="shared" si="17"/>
        <v>0.81450004567187562</v>
      </c>
    </row>
    <row r="26" spans="5:16" x14ac:dyDescent="0.3">
      <c r="J26">
        <v>0.5</v>
      </c>
      <c r="K26">
        <f t="shared" si="12"/>
        <v>7.5000000000000011E-2</v>
      </c>
      <c r="L26">
        <f t="shared" si="13"/>
        <v>1.5576354679806111E-2</v>
      </c>
      <c r="M26">
        <f t="shared" si="14"/>
        <v>0.7693938221093265</v>
      </c>
      <c r="N26">
        <f t="shared" si="15"/>
        <v>0.56516530548743626</v>
      </c>
      <c r="O26">
        <f t="shared" si="16"/>
        <v>7.4864532019709162E-2</v>
      </c>
      <c r="P26">
        <f t="shared" si="17"/>
        <v>0.77651271986945525</v>
      </c>
    </row>
    <row r="27" spans="5:16" x14ac:dyDescent="0.3">
      <c r="J27">
        <v>0.6</v>
      </c>
      <c r="K27">
        <f t="shared" si="12"/>
        <v>0.08</v>
      </c>
      <c r="L27">
        <f t="shared" si="13"/>
        <v>1.5291625615767055E-2</v>
      </c>
      <c r="M27">
        <f t="shared" si="14"/>
        <v>0.80607402253328542</v>
      </c>
      <c r="N27">
        <f t="shared" si="15"/>
        <v>0.55368716205626634</v>
      </c>
      <c r="O27">
        <f t="shared" si="16"/>
        <v>7.4437438423650581E-2</v>
      </c>
      <c r="P27">
        <f t="shared" si="17"/>
        <v>0.74117769926297139</v>
      </c>
    </row>
    <row r="28" spans="5:16" x14ac:dyDescent="0.3">
      <c r="J28">
        <v>0.7</v>
      </c>
      <c r="K28">
        <f t="shared" si="12"/>
        <v>8.4999999999999992E-2</v>
      </c>
      <c r="L28">
        <f t="shared" si="13"/>
        <v>1.5006896551727992E-2</v>
      </c>
      <c r="M28">
        <f t="shared" si="14"/>
        <v>0.84357762122670632</v>
      </c>
      <c r="N28">
        <f t="shared" si="15"/>
        <v>0.54242359447529287</v>
      </c>
      <c r="O28">
        <f t="shared" si="16"/>
        <v>7.4010344827592001E-2</v>
      </c>
      <c r="P28">
        <f t="shared" si="17"/>
        <v>0.70822657503417763</v>
      </c>
    </row>
    <row r="29" spans="5:16" x14ac:dyDescent="0.3">
      <c r="J29">
        <v>0.8</v>
      </c>
      <c r="K29">
        <f t="shared" si="12"/>
        <v>9.0000000000000011E-2</v>
      </c>
      <c r="L29">
        <f t="shared" si="13"/>
        <v>1.4722167487688936E-2</v>
      </c>
      <c r="M29">
        <f t="shared" si="14"/>
        <v>0.88193265841813706</v>
      </c>
      <c r="N29">
        <f t="shared" si="15"/>
        <v>0.53136864144785734</v>
      </c>
      <c r="O29">
        <f t="shared" si="16"/>
        <v>7.3583251231533406E-2</v>
      </c>
      <c r="P29">
        <f t="shared" si="17"/>
        <v>0.67742597323526277</v>
      </c>
    </row>
  </sheetData>
  <mergeCells count="5">
    <mergeCell ref="J1:P1"/>
    <mergeCell ref="B2:C2"/>
    <mergeCell ref="E13:H13"/>
    <mergeCell ref="J11:P11"/>
    <mergeCell ref="J21:P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E59D-A365-4327-BE7D-51C6A56821EB}">
  <dimension ref="B1:P29"/>
  <sheetViews>
    <sheetView tabSelected="1" workbookViewId="0">
      <selection activeCell="F28" sqref="F28"/>
    </sheetView>
  </sheetViews>
  <sheetFormatPr defaultRowHeight="14.4" x14ac:dyDescent="0.3"/>
  <cols>
    <col min="2" max="2" width="11.44140625" customWidth="1"/>
    <col min="3" max="3" width="12" bestFit="1" customWidth="1"/>
    <col min="4" max="4" width="17.109375" customWidth="1"/>
    <col min="5" max="5" width="23.33203125" bestFit="1" customWidth="1"/>
    <col min="6" max="8" width="19.88671875" bestFit="1" customWidth="1"/>
    <col min="11" max="12" width="12" bestFit="1" customWidth="1"/>
    <col min="13" max="13" width="14.109375" bestFit="1" customWidth="1"/>
    <col min="14" max="14" width="13.88671875" bestFit="1" customWidth="1"/>
    <col min="15" max="16" width="12" bestFit="1" customWidth="1"/>
  </cols>
  <sheetData>
    <row r="1" spans="2:16" x14ac:dyDescent="0.3">
      <c r="J1" s="22" t="s">
        <v>41</v>
      </c>
      <c r="K1" s="22"/>
      <c r="L1" s="22"/>
      <c r="M1" s="22"/>
      <c r="N1" s="22"/>
      <c r="O1" s="22"/>
      <c r="P1" s="22"/>
    </row>
    <row r="2" spans="2:16" x14ac:dyDescent="0.3">
      <c r="B2" s="23" t="s">
        <v>43</v>
      </c>
      <c r="C2" s="24"/>
      <c r="E2" s="2" t="s">
        <v>12</v>
      </c>
      <c r="F2" s="3" t="s">
        <v>21</v>
      </c>
      <c r="G2" s="3" t="s">
        <v>22</v>
      </c>
      <c r="H2" s="4" t="s">
        <v>49</v>
      </c>
      <c r="J2" s="1" t="s">
        <v>23</v>
      </c>
      <c r="K2" s="1" t="s">
        <v>24</v>
      </c>
      <c r="L2" s="1" t="s">
        <v>40</v>
      </c>
      <c r="M2" t="s">
        <v>38</v>
      </c>
      <c r="N2" s="1" t="s">
        <v>50</v>
      </c>
      <c r="O2" t="s">
        <v>29</v>
      </c>
      <c r="P2" t="s">
        <v>30</v>
      </c>
    </row>
    <row r="3" spans="2:16" x14ac:dyDescent="0.3">
      <c r="B3" s="5" t="s">
        <v>15</v>
      </c>
      <c r="C3" s="6">
        <v>1.7</v>
      </c>
      <c r="E3" s="13" t="s">
        <v>13</v>
      </c>
      <c r="F3" s="14">
        <v>0.12888888890800099</v>
      </c>
      <c r="G3" s="14">
        <v>0.33600000002512398</v>
      </c>
      <c r="H3" s="15">
        <v>0.76000000000170298</v>
      </c>
      <c r="J3">
        <v>0.2</v>
      </c>
      <c r="K3">
        <f>$F$8+($F$8*J3)</f>
        <v>6.0000000000000005E-2</v>
      </c>
      <c r="L3">
        <f>($F$14*(($F$3-K3*$F$17-$F$15*$F$10)/($F$9-$F$16+1)))</f>
        <v>1.5916250000149346E-2</v>
      </c>
      <c r="M3">
        <f>$F$20*(((L3*$F$21)+$F$10+K3)/((L3*$F$22)+$F$10))</f>
        <v>0.66529525168469028</v>
      </c>
      <c r="N3">
        <f>((1+M3)^-1)</f>
        <v>0.60049411597634317</v>
      </c>
      <c r="O3">
        <f>(($F$9*L3)+$F$10)</f>
        <v>7.4832500000298702E-2</v>
      </c>
      <c r="P3">
        <f>($F$19*M3)^(1/$F$7)</f>
        <v>0.85167304686440348</v>
      </c>
    </row>
    <row r="4" spans="2:16" x14ac:dyDescent="0.3">
      <c r="B4" s="5" t="s">
        <v>37</v>
      </c>
      <c r="C4" s="6">
        <v>0.597444089456869</v>
      </c>
      <c r="E4" s="13" t="s">
        <v>14</v>
      </c>
      <c r="F4" s="14">
        <v>0.33333333334235299</v>
      </c>
      <c r="G4" s="14">
        <v>0.40000000000897301</v>
      </c>
      <c r="H4" s="15">
        <v>0.50000000000040701</v>
      </c>
      <c r="J4">
        <v>0.3</v>
      </c>
      <c r="K4">
        <f t="shared" ref="K4:K9" si="0">$F$8+($F$8*J4)</f>
        <v>6.5000000000000002E-2</v>
      </c>
      <c r="L4">
        <f t="shared" ref="L4:L9" si="1">($F$14*(($F$3-K4*$F$17-$F$15*$F$10)/($F$9-$F$16+1)))</f>
        <v>1.5374375000175846E-2</v>
      </c>
      <c r="M4">
        <f t="shared" ref="M4:M9" si="2">$F$20*(((L4*$F$21)+$F$10+K4)/((L4*$F$22)+$F$10))</f>
        <v>0.7007746399357061</v>
      </c>
      <c r="N4">
        <f t="shared" ref="N4:N9" si="3">((1+M4)^-1)</f>
        <v>0.58796737470039107</v>
      </c>
      <c r="O4">
        <f t="shared" ref="O4:O9" si="4">(($F$9*L4)+$F$10)</f>
        <v>7.3748750000351707E-2</v>
      </c>
      <c r="P4">
        <f t="shared" ref="P4:P9" si="5">($F$19*M4)^(1/$F$7)</f>
        <v>0.78812546705442255</v>
      </c>
    </row>
    <row r="5" spans="2:16" x14ac:dyDescent="0.3">
      <c r="B5" s="5" t="s">
        <v>0</v>
      </c>
      <c r="C5" s="6">
        <v>7.7</v>
      </c>
      <c r="E5" s="13" t="s">
        <v>16</v>
      </c>
      <c r="F5" s="14">
        <v>0.58012489398495104</v>
      </c>
      <c r="G5" s="14">
        <v>0.56311066800137599</v>
      </c>
      <c r="H5" s="15">
        <v>0.62384566729943602</v>
      </c>
      <c r="J5">
        <v>0.4</v>
      </c>
      <c r="K5">
        <f t="shared" si="0"/>
        <v>7.0000000000000007E-2</v>
      </c>
      <c r="L5">
        <f t="shared" si="1"/>
        <v>1.4832500000202344E-2</v>
      </c>
      <c r="M5">
        <f t="shared" si="2"/>
        <v>0.73735413817703943</v>
      </c>
      <c r="N5">
        <f t="shared" si="3"/>
        <v>0.57558788851723341</v>
      </c>
      <c r="O5">
        <f t="shared" si="4"/>
        <v>7.2665000000404698E-2</v>
      </c>
      <c r="P5">
        <f t="shared" si="5"/>
        <v>0.7304889525320919</v>
      </c>
    </row>
    <row r="6" spans="2:16" x14ac:dyDescent="0.3">
      <c r="B6" s="5" t="s">
        <v>39</v>
      </c>
      <c r="C6" s="6">
        <v>1</v>
      </c>
      <c r="E6" s="13" t="s">
        <v>17</v>
      </c>
      <c r="F6" s="14">
        <v>0.53211009177420598</v>
      </c>
      <c r="G6" s="14">
        <v>0.711864406791201</v>
      </c>
      <c r="H6" s="15">
        <v>0.81720430107549602</v>
      </c>
      <c r="J6">
        <v>0.5</v>
      </c>
      <c r="K6">
        <f t="shared" si="0"/>
        <v>7.5000000000000011E-2</v>
      </c>
      <c r="L6">
        <f t="shared" si="1"/>
        <v>1.4290625000228839E-2</v>
      </c>
      <c r="M6">
        <f t="shared" si="2"/>
        <v>0.77508571885754629</v>
      </c>
      <c r="N6">
        <f t="shared" si="3"/>
        <v>0.56335307606643636</v>
      </c>
      <c r="O6">
        <f t="shared" si="4"/>
        <v>7.1581250000457688E-2</v>
      </c>
      <c r="P6">
        <f t="shared" si="5"/>
        <v>0.67805508324079622</v>
      </c>
    </row>
    <row r="7" spans="2:16" x14ac:dyDescent="0.3">
      <c r="B7" s="5" t="s">
        <v>1</v>
      </c>
      <c r="C7" s="6">
        <v>12.5</v>
      </c>
      <c r="E7" s="5" t="s">
        <v>3</v>
      </c>
      <c r="F7">
        <v>-0.67</v>
      </c>
      <c r="G7">
        <v>-0.67</v>
      </c>
      <c r="H7" s="6">
        <v>-0.67</v>
      </c>
      <c r="J7">
        <v>0.6</v>
      </c>
      <c r="K7">
        <f t="shared" si="0"/>
        <v>0.08</v>
      </c>
      <c r="L7">
        <f t="shared" si="1"/>
        <v>1.3748750000255338E-2</v>
      </c>
      <c r="M7">
        <f t="shared" si="2"/>
        <v>0.81402468058143429</v>
      </c>
      <c r="N7">
        <f t="shared" si="3"/>
        <v>0.55126041597156128</v>
      </c>
      <c r="O7">
        <f t="shared" si="4"/>
        <v>7.0497500000510693E-2</v>
      </c>
      <c r="P7">
        <f t="shared" si="5"/>
        <v>0.6302198590441469</v>
      </c>
    </row>
    <row r="8" spans="2:16" x14ac:dyDescent="0.3">
      <c r="B8" s="5" t="s">
        <v>59</v>
      </c>
      <c r="C8" s="6">
        <v>12.5</v>
      </c>
      <c r="E8" s="5" t="s">
        <v>19</v>
      </c>
      <c r="F8">
        <v>0.05</v>
      </c>
      <c r="G8">
        <v>0.05</v>
      </c>
      <c r="H8" s="6">
        <v>0.05</v>
      </c>
      <c r="J8">
        <v>0.7</v>
      </c>
      <c r="K8">
        <f t="shared" si="0"/>
        <v>8.4999999999999992E-2</v>
      </c>
      <c r="L8">
        <f t="shared" si="1"/>
        <v>1.3206875000281837E-2</v>
      </c>
      <c r="M8">
        <f t="shared" si="2"/>
        <v>0.85422991852067665</v>
      </c>
      <c r="N8">
        <f t="shared" si="3"/>
        <v>0.53930744510789153</v>
      </c>
      <c r="O8">
        <f t="shared" si="4"/>
        <v>6.9413750000563684E-2</v>
      </c>
      <c r="P8">
        <f t="shared" si="5"/>
        <v>0.5864655739891087</v>
      </c>
    </row>
    <row r="9" spans="2:16" x14ac:dyDescent="0.3">
      <c r="B9" s="5" t="s">
        <v>2</v>
      </c>
      <c r="C9" s="6">
        <v>1</v>
      </c>
      <c r="E9" s="5" t="s">
        <v>18</v>
      </c>
      <c r="F9">
        <v>2</v>
      </c>
      <c r="G9">
        <v>2</v>
      </c>
      <c r="H9" s="6">
        <v>2</v>
      </c>
      <c r="J9">
        <v>0.8</v>
      </c>
      <c r="K9">
        <f t="shared" si="0"/>
        <v>9.0000000000000011E-2</v>
      </c>
      <c r="L9">
        <f t="shared" si="1"/>
        <v>1.2665000000308332E-2</v>
      </c>
      <c r="M9">
        <f t="shared" si="2"/>
        <v>0.89576422164450265</v>
      </c>
      <c r="N9">
        <f t="shared" si="3"/>
        <v>0.52749175692984562</v>
      </c>
      <c r="O9">
        <f t="shared" si="4"/>
        <v>6.8330000000616675E-2</v>
      </c>
      <c r="P9">
        <f t="shared" si="5"/>
        <v>0.54634628648254935</v>
      </c>
    </row>
    <row r="10" spans="2:16" x14ac:dyDescent="0.3">
      <c r="B10" s="7" t="s">
        <v>15</v>
      </c>
      <c r="C10" s="10">
        <v>0.626</v>
      </c>
      <c r="D10" s="11"/>
      <c r="E10" s="16" t="s">
        <v>20</v>
      </c>
      <c r="F10" s="17">
        <f>($C$5-(F9*$C$3))/100</f>
        <v>4.300000000000001E-2</v>
      </c>
      <c r="G10" s="17">
        <f>($C$5-(G9*$C$3))/100</f>
        <v>4.300000000000001E-2</v>
      </c>
      <c r="H10" s="18">
        <f>($C$5-(H9*$C$3))/100</f>
        <v>4.300000000000001E-2</v>
      </c>
    </row>
    <row r="11" spans="2:16" x14ac:dyDescent="0.3">
      <c r="J11" s="22" t="s">
        <v>42</v>
      </c>
      <c r="K11" s="22"/>
      <c r="L11" s="22"/>
      <c r="M11" s="22"/>
      <c r="N11" s="22"/>
      <c r="O11" s="22"/>
      <c r="P11" s="22"/>
    </row>
    <row r="12" spans="2:16" x14ac:dyDescent="0.3">
      <c r="J12" s="1" t="s">
        <v>23</v>
      </c>
      <c r="K12" s="1" t="s">
        <v>24</v>
      </c>
      <c r="L12" s="1" t="s">
        <v>40</v>
      </c>
      <c r="M12" t="s">
        <v>38</v>
      </c>
      <c r="N12" s="1" t="s">
        <v>50</v>
      </c>
      <c r="O12" t="s">
        <v>29</v>
      </c>
      <c r="P12" t="s">
        <v>30</v>
      </c>
    </row>
    <row r="13" spans="2:16" x14ac:dyDescent="0.3">
      <c r="E13" s="23" t="s">
        <v>31</v>
      </c>
      <c r="F13" s="25"/>
      <c r="G13" s="25"/>
      <c r="H13" s="24"/>
      <c r="J13">
        <v>0.2</v>
      </c>
      <c r="K13">
        <f>$G$8+($G$8*J13)</f>
        <v>6.0000000000000005E-2</v>
      </c>
      <c r="L13">
        <f>($G$14*(($G$3-K13*$G$17-$G$15*$G$10)/($G$9-$G$16+1)))</f>
        <v>1.6239473684286659E-2</v>
      </c>
      <c r="M13">
        <f>$G$20*(((L13*$G$21)+$G$10+K13)/((L13*$G$22)+$G$10))</f>
        <v>0.66483048104561193</v>
      </c>
      <c r="N13">
        <f>((1+M13)^-1)</f>
        <v>0.60066175588756687</v>
      </c>
      <c r="O13">
        <f>(($G$9*L13)+$G$10)</f>
        <v>7.5478947368573329E-2</v>
      </c>
      <c r="P13">
        <f>($G$19*M13)^(1/$G$7)</f>
        <v>0.85256183984511724</v>
      </c>
    </row>
    <row r="14" spans="2:16" x14ac:dyDescent="0.3">
      <c r="E14" s="5" t="s">
        <v>25</v>
      </c>
      <c r="F14">
        <f>(1-$F$6)/$F$6</f>
        <v>0.8793103447177939</v>
      </c>
      <c r="G14">
        <f>(1-$G$6)/$G$6</f>
        <v>0.40476190473913226</v>
      </c>
      <c r="H14" s="6">
        <f>(1-$H$6)/$H$6</f>
        <v>0.22368421052597556</v>
      </c>
      <c r="J14">
        <v>0.3</v>
      </c>
      <c r="K14">
        <f t="shared" ref="K14:K19" si="6">$G$8+($G$8*J14)</f>
        <v>6.5000000000000002E-2</v>
      </c>
      <c r="L14">
        <f t="shared" ref="L14:L19" si="7">($G$14*(($G$3-K14*$G$17-$G$15*$G$10)/($G$9-$G$16+1)))</f>
        <v>1.5859210526405241E-2</v>
      </c>
      <c r="M14">
        <f t="shared" ref="M14:M19" si="8">$G$20*(((L14*$G$21)+$G$10+K14)/((L14*$G$22)+$G$10))</f>
        <v>0.69988431924364591</v>
      </c>
      <c r="N14">
        <f t="shared" ref="N14:N19" si="9">((1+M14)^-1)</f>
        <v>0.58827532478500921</v>
      </c>
      <c r="O14">
        <f t="shared" ref="O14:O19" si="10">(($G$9*L14)+$G$10)</f>
        <v>7.4718421052810485E-2</v>
      </c>
      <c r="P14">
        <f t="shared" ref="P14:P19" si="11">($G$19*M14)^(1/$G$7)</f>
        <v>0.78962231183182097</v>
      </c>
    </row>
    <row r="15" spans="2:16" x14ac:dyDescent="0.3">
      <c r="E15" s="5" t="s">
        <v>27</v>
      </c>
      <c r="F15">
        <f>$F$6/(1-$F$6)</f>
        <v>1.137254902102784</v>
      </c>
      <c r="G15">
        <f>$G$6/(1-$G$6)</f>
        <v>2.4705882354331163</v>
      </c>
      <c r="H15" s="6">
        <f>$H$6/(1-$H$6)</f>
        <v>4.4705882353009176</v>
      </c>
      <c r="J15">
        <v>0.4</v>
      </c>
      <c r="K15">
        <f t="shared" si="6"/>
        <v>7.0000000000000007E-2</v>
      </c>
      <c r="L15">
        <f t="shared" si="7"/>
        <v>1.5478947368523814E-2</v>
      </c>
      <c r="M15">
        <f t="shared" si="8"/>
        <v>0.73589476079674054</v>
      </c>
      <c r="N15">
        <f t="shared" si="9"/>
        <v>0.57607178878806009</v>
      </c>
      <c r="O15">
        <f t="shared" si="10"/>
        <v>7.3957894737047641E-2</v>
      </c>
      <c r="P15">
        <f t="shared" si="11"/>
        <v>0.73265218268908527</v>
      </c>
    </row>
    <row r="16" spans="2:16" x14ac:dyDescent="0.3">
      <c r="E16" s="5" t="s">
        <v>26</v>
      </c>
      <c r="F16">
        <f>(1-2*$F$6)/(1-$F$6)</f>
        <v>-0.13725490210278404</v>
      </c>
      <c r="G16">
        <f>(1-2*$G$6)/(1-$G$6)</f>
        <v>-1.4705882354331166</v>
      </c>
      <c r="H16" s="6">
        <f>(1-2*$H$6)/(1-$H$6)</f>
        <v>-3.4705882353009172</v>
      </c>
      <c r="J16">
        <v>0.5</v>
      </c>
      <c r="K16">
        <f t="shared" si="6"/>
        <v>7.5000000000000011E-2</v>
      </c>
      <c r="L16">
        <f t="shared" si="7"/>
        <v>1.5098684210642387E-2</v>
      </c>
      <c r="M16">
        <f t="shared" si="8"/>
        <v>0.77290150530485868</v>
      </c>
      <c r="N16">
        <f t="shared" si="9"/>
        <v>0.56404712670602952</v>
      </c>
      <c r="O16">
        <f t="shared" si="10"/>
        <v>7.3197368421284784E-2</v>
      </c>
      <c r="P16">
        <f t="shared" si="11"/>
        <v>0.6809170403250191</v>
      </c>
    </row>
    <row r="17" spans="5:16" x14ac:dyDescent="0.3">
      <c r="E17" s="5" t="s">
        <v>28</v>
      </c>
      <c r="F17">
        <f>$F$3/$F$4</f>
        <v>0.38666666671354016</v>
      </c>
      <c r="G17">
        <f>$G$3/$G$4</f>
        <v>0.84000000004396658</v>
      </c>
      <c r="H17" s="6">
        <f>$H$3/$H$4</f>
        <v>1.5200000000021687</v>
      </c>
      <c r="J17">
        <v>0.6</v>
      </c>
      <c r="K17">
        <f t="shared" si="6"/>
        <v>0.08</v>
      </c>
      <c r="L17">
        <f t="shared" si="7"/>
        <v>1.4718421052760966E-2</v>
      </c>
      <c r="M17">
        <f t="shared" si="8"/>
        <v>0.81094647992516478</v>
      </c>
      <c r="N17">
        <f t="shared" si="9"/>
        <v>0.55219743437217639</v>
      </c>
      <c r="O17">
        <f t="shared" si="10"/>
        <v>7.243684210552194E-2</v>
      </c>
      <c r="P17">
        <f t="shared" si="11"/>
        <v>0.63379363678280287</v>
      </c>
    </row>
    <row r="18" spans="5:16" x14ac:dyDescent="0.3">
      <c r="E18" s="5" t="s">
        <v>32</v>
      </c>
      <c r="F18">
        <f>(1-$F$6)/(1-$F$5)</f>
        <v>1.1143549629946963</v>
      </c>
      <c r="G18">
        <f>(1-$G$6)/(1-$G$5)</f>
        <v>0.65951620262887645</v>
      </c>
      <c r="H18" s="6">
        <f>(1-$H$6)/(1-$H$5)</f>
        <v>0.48595930721345088</v>
      </c>
      <c r="J18">
        <v>0.7</v>
      </c>
      <c r="K18">
        <f t="shared" si="6"/>
        <v>8.4999999999999992E-2</v>
      </c>
      <c r="L18">
        <f t="shared" si="7"/>
        <v>1.4338157894879548E-2</v>
      </c>
      <c r="M18">
        <f t="shared" si="8"/>
        <v>0.85007399783100235</v>
      </c>
      <c r="N18">
        <f t="shared" si="9"/>
        <v>0.54051892041744509</v>
      </c>
      <c r="O18">
        <f t="shared" si="10"/>
        <v>7.167631578975911E-2</v>
      </c>
      <c r="P18">
        <f t="shared" si="11"/>
        <v>0.59075007625326414</v>
      </c>
    </row>
    <row r="19" spans="5:16" x14ac:dyDescent="0.3">
      <c r="E19" s="5" t="s">
        <v>33</v>
      </c>
      <c r="F19">
        <f>C10/(1-C10)</f>
        <v>1.6737967914438503</v>
      </c>
      <c r="G19">
        <f>$C$10/(1-$C$10)</f>
        <v>1.6737967914438503</v>
      </c>
      <c r="H19" s="6">
        <f>$C$10/(1-$C$10)</f>
        <v>1.6737967914438503</v>
      </c>
      <c r="J19">
        <v>0.8</v>
      </c>
      <c r="K19">
        <f t="shared" si="6"/>
        <v>9.0000000000000011E-2</v>
      </c>
      <c r="L19">
        <f t="shared" si="7"/>
        <v>1.3957894736998122E-2</v>
      </c>
      <c r="M19">
        <f t="shared" si="8"/>
        <v>0.8903309303926098</v>
      </c>
      <c r="N19">
        <f t="shared" si="9"/>
        <v>0.52900790222604377</v>
      </c>
      <c r="O19">
        <f t="shared" si="10"/>
        <v>7.0915789473996252E-2</v>
      </c>
      <c r="P19">
        <f t="shared" si="11"/>
        <v>0.55133003642380185</v>
      </c>
    </row>
    <row r="20" spans="5:16" x14ac:dyDescent="0.3">
      <c r="E20" s="5" t="s">
        <v>34</v>
      </c>
      <c r="F20">
        <f>F18*F17</f>
        <v>0.43088391907684959</v>
      </c>
      <c r="G20">
        <f>G18*G17</f>
        <v>0.55399361023725291</v>
      </c>
      <c r="H20" s="6">
        <f>H18*H17</f>
        <v>0.73865814696549925</v>
      </c>
    </row>
    <row r="21" spans="5:16" x14ac:dyDescent="0.3">
      <c r="E21" s="5" t="s">
        <v>35</v>
      </c>
      <c r="F21">
        <f>F9-1</f>
        <v>1</v>
      </c>
      <c r="G21">
        <f>G9-1</f>
        <v>1</v>
      </c>
      <c r="H21" s="6">
        <f>H9-1</f>
        <v>1</v>
      </c>
      <c r="J21" s="22" t="s">
        <v>48</v>
      </c>
      <c r="K21" s="22"/>
      <c r="L21" s="22"/>
      <c r="M21" s="22"/>
      <c r="N21" s="22"/>
      <c r="O21" s="22"/>
      <c r="P21" s="22"/>
    </row>
    <row r="22" spans="5:16" x14ac:dyDescent="0.3">
      <c r="E22" s="7" t="s">
        <v>36</v>
      </c>
      <c r="F22" s="8">
        <f>F9-F16</f>
        <v>2.137254902102784</v>
      </c>
      <c r="G22" s="8">
        <f>G9-G16</f>
        <v>3.4705882354331168</v>
      </c>
      <c r="H22" s="9">
        <f>H9-H16</f>
        <v>5.4705882353009176</v>
      </c>
      <c r="J22" s="1" t="s">
        <v>23</v>
      </c>
      <c r="K22" s="1" t="s">
        <v>24</v>
      </c>
      <c r="L22" s="1" t="s">
        <v>40</v>
      </c>
      <c r="M22" t="s">
        <v>38</v>
      </c>
      <c r="N22" s="1" t="s">
        <v>50</v>
      </c>
      <c r="O22" t="s">
        <v>29</v>
      </c>
      <c r="P22" t="s">
        <v>30</v>
      </c>
    </row>
    <row r="23" spans="5:16" x14ac:dyDescent="0.3">
      <c r="J23">
        <v>0.2</v>
      </c>
      <c r="K23">
        <f>$H$8+($H$8*J23)</f>
        <v>6.0000000000000005E-2</v>
      </c>
      <c r="L23">
        <f>($H$14*(($H$3-K23*$H$17-$H$15*$H$10)/($H$9-$H$16+1)))</f>
        <v>1.6474545454547344E-2</v>
      </c>
      <c r="M23">
        <f>$H$20*(((L23*$H$21)+$H$10+K23)/((L23*$H$22)+$H$10))</f>
        <v>0.66291489224389943</v>
      </c>
      <c r="N23">
        <f>((1+M23)^-1)</f>
        <v>0.60135368602696371</v>
      </c>
      <c r="O23">
        <f>(($H$9*L23)+$H$10)</f>
        <v>7.5949090909094699E-2</v>
      </c>
      <c r="P23">
        <f>($H$19*M23)^(1/$H$7)</f>
        <v>0.85624147193128564</v>
      </c>
    </row>
    <row r="24" spans="5:16" x14ac:dyDescent="0.3">
      <c r="J24">
        <v>0.3</v>
      </c>
      <c r="K24">
        <f t="shared" ref="K24:K29" si="12">$H$8+($H$8*J24)</f>
        <v>6.5000000000000002E-2</v>
      </c>
      <c r="L24">
        <f t="shared" ref="L24:L29" si="13">($H$14*(($H$3-K24*$H$17-$H$15*$H$10)/($H$9-$H$16+1)))</f>
        <v>1.6211818181820374E-2</v>
      </c>
      <c r="M24">
        <f t="shared" ref="M24:M29" si="14">$H$20*(((L24*$H$21)+$H$10+K24)/((L24*$H$22)+$H$10))</f>
        <v>0.69672213696435226</v>
      </c>
      <c r="N24">
        <f t="shared" ref="N24:N29" si="15">((1+M24)^-1)</f>
        <v>0.58937169393518074</v>
      </c>
      <c r="O24">
        <f t="shared" ref="O24:O29" si="16">(($H$9*L24)+$H$10)</f>
        <v>7.5423636363640759E-2</v>
      </c>
      <c r="P24">
        <f t="shared" ref="P24:P29" si="17">($H$19*M24)^(1/$H$7)</f>
        <v>0.79497727737165069</v>
      </c>
    </row>
    <row r="25" spans="5:16" x14ac:dyDescent="0.3">
      <c r="J25">
        <v>0.4</v>
      </c>
      <c r="K25">
        <f t="shared" si="12"/>
        <v>7.0000000000000007E-2</v>
      </c>
      <c r="L25">
        <f t="shared" si="13"/>
        <v>1.5949090909093404E-2</v>
      </c>
      <c r="M25">
        <f t="shared" si="14"/>
        <v>0.73127548366843076</v>
      </c>
      <c r="N25">
        <f t="shared" si="15"/>
        <v>0.57760882622855725</v>
      </c>
      <c r="O25">
        <f t="shared" si="16"/>
        <v>7.4898181818186818E-2</v>
      </c>
      <c r="P25">
        <f t="shared" si="17"/>
        <v>0.73957033947873607</v>
      </c>
    </row>
    <row r="26" spans="5:16" x14ac:dyDescent="0.3">
      <c r="J26">
        <v>0.5</v>
      </c>
      <c r="K26">
        <f t="shared" si="12"/>
        <v>7.5000000000000011E-2</v>
      </c>
      <c r="L26">
        <f t="shared" si="13"/>
        <v>1.568636363636643E-2</v>
      </c>
      <c r="M26">
        <f t="shared" si="14"/>
        <v>0.76659990685564716</v>
      </c>
      <c r="N26">
        <f t="shared" si="15"/>
        <v>0.56605912641526712</v>
      </c>
      <c r="O26">
        <f t="shared" si="16"/>
        <v>7.4372727272732864E-2</v>
      </c>
      <c r="P26">
        <f t="shared" si="17"/>
        <v>0.68928806136975396</v>
      </c>
    </row>
    <row r="27" spans="5:16" x14ac:dyDescent="0.3">
      <c r="J27">
        <v>0.6</v>
      </c>
      <c r="K27">
        <f t="shared" si="12"/>
        <v>0.08</v>
      </c>
      <c r="L27">
        <f t="shared" si="13"/>
        <v>1.5423636363639462E-2</v>
      </c>
      <c r="M27">
        <f t="shared" si="14"/>
        <v>0.80272150824145805</v>
      </c>
      <c r="N27">
        <f t="shared" si="15"/>
        <v>0.55471685195318543</v>
      </c>
      <c r="O27">
        <f t="shared" si="16"/>
        <v>7.3847272727278937E-2</v>
      </c>
      <c r="P27">
        <f t="shared" si="17"/>
        <v>0.6435107037536334</v>
      </c>
    </row>
    <row r="28" spans="5:16" x14ac:dyDescent="0.3">
      <c r="J28">
        <v>0.7</v>
      </c>
      <c r="K28">
        <f t="shared" si="12"/>
        <v>8.4999999999999992E-2</v>
      </c>
      <c r="L28">
        <f t="shared" si="13"/>
        <v>1.5160909090912486E-2</v>
      </c>
      <c r="M28">
        <f t="shared" si="14"/>
        <v>0.83966758107870565</v>
      </c>
      <c r="N28">
        <f t="shared" si="15"/>
        <v>0.54357646472937304</v>
      </c>
      <c r="O28">
        <f t="shared" si="16"/>
        <v>7.3321818181824983E-2</v>
      </c>
      <c r="P28">
        <f t="shared" si="17"/>
        <v>0.60171090920831438</v>
      </c>
    </row>
    <row r="29" spans="5:16" x14ac:dyDescent="0.3">
      <c r="J29">
        <v>0.8</v>
      </c>
      <c r="K29">
        <f t="shared" si="12"/>
        <v>9.0000000000000011E-2</v>
      </c>
      <c r="L29">
        <f t="shared" si="13"/>
        <v>1.4898181818185512E-2</v>
      </c>
      <c r="M29">
        <f t="shared" si="14"/>
        <v>0.87746667893428976</v>
      </c>
      <c r="N29">
        <f t="shared" si="15"/>
        <v>0.53263262204346129</v>
      </c>
      <c r="O29">
        <f t="shared" si="16"/>
        <v>7.2796363636371042E-2</v>
      </c>
      <c r="P29">
        <f t="shared" si="17"/>
        <v>0.56343746917374926</v>
      </c>
    </row>
  </sheetData>
  <mergeCells count="5">
    <mergeCell ref="J1:P1"/>
    <mergeCell ref="B2:C2"/>
    <mergeCell ref="E13:H13"/>
    <mergeCell ref="J11:P11"/>
    <mergeCell ref="J21:P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EC89-9FAF-4E16-8DB2-B61344946CFF}">
  <dimension ref="B1:P29"/>
  <sheetViews>
    <sheetView workbookViewId="0">
      <selection activeCell="B8" sqref="B8"/>
    </sheetView>
  </sheetViews>
  <sheetFormatPr defaultRowHeight="14.4" x14ac:dyDescent="0.3"/>
  <cols>
    <col min="2" max="2" width="11.5546875" customWidth="1"/>
    <col min="3" max="3" width="12" bestFit="1" customWidth="1"/>
    <col min="4" max="4" width="13.6640625" customWidth="1"/>
    <col min="5" max="5" width="23.33203125" bestFit="1" customWidth="1"/>
    <col min="6" max="7" width="19.88671875" bestFit="1" customWidth="1"/>
    <col min="8" max="8" width="20.88671875" bestFit="1" customWidth="1"/>
    <col min="10" max="10" width="10.6640625" customWidth="1"/>
    <col min="11" max="12" width="12" bestFit="1" customWidth="1"/>
    <col min="13" max="13" width="14.109375" bestFit="1" customWidth="1"/>
    <col min="14" max="14" width="13.88671875" bestFit="1" customWidth="1"/>
    <col min="15" max="16" width="12" bestFit="1" customWidth="1"/>
  </cols>
  <sheetData>
    <row r="1" spans="2:16" x14ac:dyDescent="0.3">
      <c r="J1" s="22" t="s">
        <v>41</v>
      </c>
      <c r="K1" s="22"/>
      <c r="L1" s="22"/>
      <c r="M1" s="22"/>
      <c r="N1" s="22"/>
      <c r="O1" s="22"/>
      <c r="P1" s="22"/>
    </row>
    <row r="2" spans="2:16" x14ac:dyDescent="0.3">
      <c r="B2" s="23" t="s">
        <v>43</v>
      </c>
      <c r="C2" s="24"/>
      <c r="E2" s="2" t="s">
        <v>12</v>
      </c>
      <c r="F2" s="3" t="s">
        <v>21</v>
      </c>
      <c r="G2" s="3" t="s">
        <v>22</v>
      </c>
      <c r="H2" s="4" t="s">
        <v>49</v>
      </c>
      <c r="J2" s="1" t="s">
        <v>23</v>
      </c>
      <c r="K2" s="1" t="s">
        <v>24</v>
      </c>
      <c r="L2" s="1" t="s">
        <v>40</v>
      </c>
      <c r="M2" t="s">
        <v>38</v>
      </c>
      <c r="N2" s="1" t="s">
        <v>50</v>
      </c>
      <c r="O2" t="s">
        <v>29</v>
      </c>
      <c r="P2" t="s">
        <v>30</v>
      </c>
    </row>
    <row r="3" spans="2:16" x14ac:dyDescent="0.3">
      <c r="B3" s="5" t="s">
        <v>47</v>
      </c>
      <c r="C3" s="6">
        <v>1.7</v>
      </c>
      <c r="E3" s="13" t="s">
        <v>13</v>
      </c>
      <c r="F3" s="19">
        <v>0.12888888892474501</v>
      </c>
      <c r="G3" s="19">
        <v>0.33600000001078301</v>
      </c>
      <c r="H3" s="20">
        <v>0.759999999936118</v>
      </c>
      <c r="J3">
        <v>0.2</v>
      </c>
      <c r="K3">
        <f>$F$8+($F$8*J3)</f>
        <v>3.0000000000000002E-2</v>
      </c>
      <c r="L3">
        <f>($F$14*(($F$3-K3*$F$17-$F$15*$F$10)/($F$9-$F$16+1)))</f>
        <v>1.5916249999541089E-2</v>
      </c>
      <c r="M3">
        <f>$F$20*(((L3*$F$21)+$F$10+K3)/((L3*$F$22)+$F$10))</f>
        <v>0.64376611877814516</v>
      </c>
      <c r="N3">
        <f>((1+M3)^-1)</f>
        <v>0.60835905338122342</v>
      </c>
      <c r="O3">
        <f>(($F$9*L3)+$F$10)</f>
        <v>7.4832499999082189E-2</v>
      </c>
      <c r="P3">
        <f>($F$19*M3)^(1/$F$7)</f>
        <v>0.92804525126424109</v>
      </c>
    </row>
    <row r="4" spans="2:16" x14ac:dyDescent="0.3">
      <c r="B4" s="5" t="s">
        <v>37</v>
      </c>
      <c r="C4" s="6">
        <v>0.597444089456869</v>
      </c>
      <c r="E4" s="13" t="s">
        <v>14</v>
      </c>
      <c r="F4" s="19">
        <v>0.166666666674675</v>
      </c>
      <c r="G4" s="19">
        <v>0.200000000001744</v>
      </c>
      <c r="H4" s="20">
        <v>0.249999999994929</v>
      </c>
      <c r="J4">
        <v>0.3</v>
      </c>
      <c r="K4">
        <f t="shared" ref="K4:K9" si="0">$F$8+($F$8*J4)</f>
        <v>3.2500000000000001E-2</v>
      </c>
      <c r="L4">
        <f t="shared" ref="L4:L9" si="1">($F$14*(($F$3-K4*$F$17-$F$15*$F$10)/($F$9-$F$16+1)))</f>
        <v>1.5374374999604382E-2</v>
      </c>
      <c r="M4">
        <f t="shared" ref="M4:M9" si="2">$F$20*(((L4*$F$21)+$F$10+K4)/((L4*$F$22)+$F$10))</f>
        <v>0.66798791851243211</v>
      </c>
      <c r="N4">
        <f t="shared" ref="N4:N9" si="3">((1+M4)^-1)</f>
        <v>0.59952472610942753</v>
      </c>
      <c r="O4">
        <f t="shared" ref="O4:O9" si="4">(($F$9*L4)+$F$10)</f>
        <v>7.3748749999208774E-2</v>
      </c>
      <c r="P4">
        <f t="shared" ref="P4:P9" si="5">($F$19*M4)^(1/$F$7)</f>
        <v>0.89439355548127297</v>
      </c>
    </row>
    <row r="5" spans="2:16" x14ac:dyDescent="0.3">
      <c r="B5" s="5" t="s">
        <v>0</v>
      </c>
      <c r="C5" s="6">
        <v>7.7</v>
      </c>
      <c r="E5" s="13" t="s">
        <v>16</v>
      </c>
      <c r="F5" s="19">
        <v>0.35110210886258802</v>
      </c>
      <c r="G5" s="19">
        <v>0.324807395995238</v>
      </c>
      <c r="H5" s="20">
        <v>0.41867057673449698</v>
      </c>
      <c r="J5">
        <v>0.4</v>
      </c>
      <c r="K5">
        <f t="shared" si="0"/>
        <v>3.5000000000000003E-2</v>
      </c>
      <c r="L5">
        <f t="shared" si="1"/>
        <v>1.4832499999667671E-2</v>
      </c>
      <c r="M5">
        <f t="shared" si="2"/>
        <v>0.69296076399988427</v>
      </c>
      <c r="N5">
        <f t="shared" si="3"/>
        <v>0.59068114351176326</v>
      </c>
      <c r="O5">
        <f t="shared" si="4"/>
        <v>7.2664999999335345E-2</v>
      </c>
      <c r="P5">
        <f t="shared" si="5"/>
        <v>0.86216149671782683</v>
      </c>
    </row>
    <row r="6" spans="2:16" x14ac:dyDescent="0.3">
      <c r="B6" s="5" t="s">
        <v>39</v>
      </c>
      <c r="C6" s="6">
        <v>1</v>
      </c>
      <c r="E6" s="13" t="s">
        <v>17</v>
      </c>
      <c r="F6" s="19">
        <v>0.53211009180651603</v>
      </c>
      <c r="G6" s="19">
        <v>0.71186440678567198</v>
      </c>
      <c r="H6" s="20">
        <v>0.81720430108460496</v>
      </c>
      <c r="J6">
        <v>0.5</v>
      </c>
      <c r="K6">
        <f t="shared" si="0"/>
        <v>3.7500000000000006E-2</v>
      </c>
      <c r="L6">
        <f t="shared" si="1"/>
        <v>1.429062499973096E-2</v>
      </c>
      <c r="M6">
        <f t="shared" si="2"/>
        <v>0.71872013686264646</v>
      </c>
      <c r="N6">
        <f t="shared" si="3"/>
        <v>0.58182829103602707</v>
      </c>
      <c r="O6">
        <f t="shared" si="4"/>
        <v>7.1581249999461929E-2</v>
      </c>
      <c r="P6">
        <f t="shared" si="5"/>
        <v>0.8312610970729567</v>
      </c>
    </row>
    <row r="7" spans="2:16" x14ac:dyDescent="0.3">
      <c r="B7" s="5" t="s">
        <v>1</v>
      </c>
      <c r="C7" s="6">
        <v>12.5</v>
      </c>
      <c r="E7" s="5" t="s">
        <v>3</v>
      </c>
      <c r="F7">
        <v>-1</v>
      </c>
      <c r="G7">
        <v>-1</v>
      </c>
      <c r="H7" s="6">
        <v>-1</v>
      </c>
      <c r="J7">
        <v>0.6</v>
      </c>
      <c r="K7">
        <f t="shared" si="0"/>
        <v>0.04</v>
      </c>
      <c r="L7">
        <f t="shared" si="1"/>
        <v>1.3748749999794252E-2</v>
      </c>
      <c r="M7">
        <f t="shared" si="2"/>
        <v>0.74530378949112597</v>
      </c>
      <c r="N7">
        <f t="shared" si="3"/>
        <v>0.57296615409949203</v>
      </c>
      <c r="O7">
        <f t="shared" si="4"/>
        <v>7.0497499999588514E-2</v>
      </c>
      <c r="P7">
        <f t="shared" si="5"/>
        <v>0.80161150108305268</v>
      </c>
    </row>
    <row r="8" spans="2:16" x14ac:dyDescent="0.3">
      <c r="B8" s="5" t="s">
        <v>59</v>
      </c>
      <c r="C8" s="6">
        <v>12.5</v>
      </c>
      <c r="E8" s="5" t="s">
        <v>19</v>
      </c>
      <c r="F8">
        <v>2.5000000000000001E-2</v>
      </c>
      <c r="G8">
        <v>2.5000000000000001E-2</v>
      </c>
      <c r="H8">
        <v>2.5000000000000001E-2</v>
      </c>
      <c r="J8">
        <v>0.7</v>
      </c>
      <c r="K8">
        <f t="shared" si="0"/>
        <v>4.2499999999999996E-2</v>
      </c>
      <c r="L8">
        <f t="shared" si="1"/>
        <v>1.3206874999857543E-2</v>
      </c>
      <c r="M8">
        <f t="shared" si="2"/>
        <v>0.77275192965471029</v>
      </c>
      <c r="N8">
        <f t="shared" si="3"/>
        <v>0.56409471808882816</v>
      </c>
      <c r="O8">
        <f t="shared" si="4"/>
        <v>6.9413749999715099E-2</v>
      </c>
      <c r="P8">
        <f t="shared" si="5"/>
        <v>0.77313826925521334</v>
      </c>
    </row>
    <row r="9" spans="2:16" x14ac:dyDescent="0.3">
      <c r="B9" s="5" t="s">
        <v>2</v>
      </c>
      <c r="C9" s="6">
        <v>1</v>
      </c>
      <c r="E9" s="5" t="s">
        <v>18</v>
      </c>
      <c r="F9">
        <v>2</v>
      </c>
      <c r="G9">
        <v>2</v>
      </c>
      <c r="H9" s="6">
        <v>2</v>
      </c>
      <c r="J9">
        <v>0.8</v>
      </c>
      <c r="K9">
        <f t="shared" si="0"/>
        <v>4.5000000000000005E-2</v>
      </c>
      <c r="L9">
        <f t="shared" si="1"/>
        <v>1.2664999999920833E-2</v>
      </c>
      <c r="M9">
        <f t="shared" si="2"/>
        <v>0.80110742342051988</v>
      </c>
      <c r="N9">
        <f t="shared" si="3"/>
        <v>0.55521396836002124</v>
      </c>
      <c r="O9">
        <f t="shared" si="4"/>
        <v>6.8329999999841684E-2</v>
      </c>
      <c r="P9">
        <f t="shared" si="5"/>
        <v>0.7457727540533059</v>
      </c>
    </row>
    <row r="10" spans="2:16" x14ac:dyDescent="0.3">
      <c r="B10" s="7" t="s">
        <v>15</v>
      </c>
      <c r="C10" s="10">
        <v>0.626</v>
      </c>
      <c r="D10" s="11"/>
      <c r="E10" s="16" t="s">
        <v>20</v>
      </c>
      <c r="F10" s="17">
        <f>($C$5-(F9*$C$3))/100</f>
        <v>4.300000000000001E-2</v>
      </c>
      <c r="G10" s="17">
        <f>($C$5-(G9*$C$3))/100</f>
        <v>4.300000000000001E-2</v>
      </c>
      <c r="H10" s="18">
        <f>($C$5-(H9*$C$3))/100</f>
        <v>4.300000000000001E-2</v>
      </c>
    </row>
    <row r="11" spans="2:16" x14ac:dyDescent="0.3">
      <c r="J11" s="22" t="s">
        <v>42</v>
      </c>
      <c r="K11" s="22"/>
      <c r="L11" s="22"/>
      <c r="M11" s="22"/>
      <c r="N11" s="22"/>
      <c r="O11" s="22"/>
      <c r="P11" s="22"/>
    </row>
    <row r="12" spans="2:16" x14ac:dyDescent="0.3">
      <c r="J12" s="1" t="s">
        <v>23</v>
      </c>
      <c r="K12" s="1" t="s">
        <v>24</v>
      </c>
      <c r="L12" s="1" t="s">
        <v>40</v>
      </c>
      <c r="M12" t="s">
        <v>38</v>
      </c>
      <c r="N12" s="1" t="s">
        <v>50</v>
      </c>
      <c r="O12" t="s">
        <v>29</v>
      </c>
      <c r="P12" t="s">
        <v>30</v>
      </c>
    </row>
    <row r="13" spans="2:16" x14ac:dyDescent="0.3">
      <c r="E13" s="23" t="s">
        <v>31</v>
      </c>
      <c r="F13" s="25"/>
      <c r="G13" s="25"/>
      <c r="H13" s="24"/>
      <c r="J13">
        <v>0.2</v>
      </c>
      <c r="K13">
        <f>$G$8+($G$8*J13)</f>
        <v>3.0000000000000002E-2</v>
      </c>
      <c r="L13">
        <f t="shared" ref="L13:L19" si="6">($G$14*(($G$3-K13*$G$17-$G$15*$G$10)/($G$9-$G$16+1)))</f>
        <v>1.6239473684059372E-2</v>
      </c>
      <c r="M13">
        <f>$G$20*(((L13*$G$21)+$G$10+K13)/((L13*$G$22)+$G$10))</f>
        <v>0.64390475464145047</v>
      </c>
      <c r="N13">
        <f>((1+M13)^-1)</f>
        <v>0.60830774847299984</v>
      </c>
      <c r="O13">
        <f>(($G$9*L13)+$G$10)</f>
        <v>7.5478947368118748E-2</v>
      </c>
      <c r="P13">
        <f>($G$19*M13)^(1/$G$7)</f>
        <v>0.92784543855332702</v>
      </c>
    </row>
    <row r="14" spans="2:16" x14ac:dyDescent="0.3">
      <c r="E14" s="5" t="s">
        <v>25</v>
      </c>
      <c r="F14">
        <f>(1-$F$6)/$F$6</f>
        <v>0.87931034460368107</v>
      </c>
      <c r="G14">
        <f>(1-$G$6)/$G$6</f>
        <v>0.40476190475004298</v>
      </c>
      <c r="H14" s="6">
        <f>(1-$H$6)/$H$6</f>
        <v>0.22368421051233583</v>
      </c>
      <c r="J14">
        <v>0.3</v>
      </c>
      <c r="K14">
        <f t="shared" ref="K14:K19" si="7">$G$8+($G$8*J14)</f>
        <v>3.2500000000000001E-2</v>
      </c>
      <c r="L14">
        <f t="shared" si="6"/>
        <v>1.5859210526173052E-2</v>
      </c>
      <c r="M14">
        <f t="shared" ref="M14:M19" si="8">$G$20*(((L14*$G$21)+$G$10+K14)/((L14*$G$22)+$G$10))</f>
        <v>0.66807320470440046</v>
      </c>
      <c r="N14">
        <f t="shared" ref="N14:N19" si="9">((1+M14)^-1)</f>
        <v>0.5994940732695303</v>
      </c>
      <c r="O14">
        <f t="shared" ref="O14:O19" si="10">(($G$9*L14)+$G$10)</f>
        <v>7.4718421052346107E-2</v>
      </c>
      <c r="P14">
        <f t="shared" ref="P14:P19" si="11">($G$19*M14)^(1/$G$7)</f>
        <v>0.89427937724462037</v>
      </c>
    </row>
    <row r="15" spans="2:16" x14ac:dyDescent="0.3">
      <c r="E15" s="5" t="s">
        <v>27</v>
      </c>
      <c r="F15">
        <f>$F$6/(1-$F$6)</f>
        <v>1.1372549022503717</v>
      </c>
      <c r="G15">
        <f>$G$6/(1-$G$6)</f>
        <v>2.4705882353665194</v>
      </c>
      <c r="H15" s="6">
        <f>$H$6/(1-$H$6)</f>
        <v>4.4705882355735236</v>
      </c>
      <c r="J15">
        <v>0.4</v>
      </c>
      <c r="K15">
        <f t="shared" si="7"/>
        <v>3.5000000000000003E-2</v>
      </c>
      <c r="L15">
        <f t="shared" si="6"/>
        <v>1.5478947368286727E-2</v>
      </c>
      <c r="M15">
        <f t="shared" si="8"/>
        <v>0.69290120081439144</v>
      </c>
      <c r="N15">
        <f t="shared" si="9"/>
        <v>0.5907019260893297</v>
      </c>
      <c r="O15">
        <f t="shared" si="10"/>
        <v>7.3957894736573465E-2</v>
      </c>
      <c r="P15">
        <f t="shared" si="11"/>
        <v>0.86223560985992187</v>
      </c>
    </row>
    <row r="16" spans="2:16" x14ac:dyDescent="0.3">
      <c r="E16" s="5" t="s">
        <v>26</v>
      </c>
      <c r="F16">
        <f>(1-2*$F$6)/(1-$F$6)</f>
        <v>-0.13725490225037176</v>
      </c>
      <c r="G16">
        <f>(1-2*$G$6)/(1-$G$6)</f>
        <v>-1.4705882353665196</v>
      </c>
      <c r="H16" s="6">
        <f>(1-2*$H$6)/(1-$H$6)</f>
        <v>-3.4705882355735236</v>
      </c>
      <c r="J16">
        <v>0.5</v>
      </c>
      <c r="K16">
        <f t="shared" si="7"/>
        <v>3.7500000000000006E-2</v>
      </c>
      <c r="L16">
        <f t="shared" si="6"/>
        <v>1.509868421040041E-2</v>
      </c>
      <c r="M16">
        <f t="shared" si="8"/>
        <v>0.71841611451897913</v>
      </c>
      <c r="N16">
        <f t="shared" si="9"/>
        <v>0.58193122815303733</v>
      </c>
      <c r="O16">
        <f t="shared" si="10"/>
        <v>7.3197368420800824E-2</v>
      </c>
      <c r="P16">
        <f t="shared" si="11"/>
        <v>0.83161287362950109</v>
      </c>
    </row>
    <row r="17" spans="5:16" x14ac:dyDescent="0.3">
      <c r="E17" s="5" t="s">
        <v>28</v>
      </c>
      <c r="F17">
        <f>$F$3/$F$4</f>
        <v>0.77333333351131139</v>
      </c>
      <c r="G17">
        <f>$G$3/$G$4</f>
        <v>1.6800000000392654</v>
      </c>
      <c r="H17" s="6">
        <f>$H$3/$H$4</f>
        <v>3.0399999998061356</v>
      </c>
      <c r="J17">
        <v>0.6</v>
      </c>
      <c r="K17">
        <f t="shared" si="7"/>
        <v>0.04</v>
      </c>
      <c r="L17">
        <f t="shared" si="6"/>
        <v>1.4718421052514086E-2</v>
      </c>
      <c r="M17">
        <f>$G$20*(((L17*$G$21)+$G$10+K17)/((L17*$G$22)+$G$10))</f>
        <v>0.7446468531919731</v>
      </c>
      <c r="N17">
        <f t="shared" si="9"/>
        <v>0.5731819010652035</v>
      </c>
      <c r="O17">
        <f t="shared" si="10"/>
        <v>7.2436842105028182E-2</v>
      </c>
      <c r="P17">
        <f t="shared" si="11"/>
        <v>0.8023186922712281</v>
      </c>
    </row>
    <row r="18" spans="5:16" x14ac:dyDescent="0.3">
      <c r="E18" s="5" t="s">
        <v>32</v>
      </c>
      <c r="F18">
        <f>(1-$F$6)/(1-$F$5)</f>
        <v>0.721053211273887</v>
      </c>
      <c r="G18">
        <f>(1-$G$6)/(1-$G$5)</f>
        <v>0.42674577817546094</v>
      </c>
      <c r="H18" s="6">
        <f>(1-$H$6)/(1-$H$5)</f>
        <v>0.31444425759249611</v>
      </c>
      <c r="J18">
        <v>0.7</v>
      </c>
      <c r="K18">
        <f t="shared" si="7"/>
        <v>4.2499999999999996E-2</v>
      </c>
      <c r="L18">
        <f t="shared" si="6"/>
        <v>1.4338157894627763E-2</v>
      </c>
      <c r="M18">
        <f t="shared" si="8"/>
        <v>0.77162396928560528</v>
      </c>
      <c r="N18">
        <f t="shared" si="9"/>
        <v>0.56445386681195264</v>
      </c>
      <c r="O18">
        <f t="shared" si="10"/>
        <v>7.167631578925554E-2</v>
      </c>
      <c r="P18">
        <f t="shared" si="11"/>
        <v>0.77426844322889854</v>
      </c>
    </row>
    <row r="19" spans="5:16" x14ac:dyDescent="0.3">
      <c r="E19" s="5" t="s">
        <v>33</v>
      </c>
      <c r="F19">
        <f>C10/(1-C10)</f>
        <v>1.6737967914438503</v>
      </c>
      <c r="G19">
        <f>$C$10/(1-$C$10)</f>
        <v>1.6737967914438503</v>
      </c>
      <c r="H19" s="6">
        <f>$C$10/(1-$C$10)</f>
        <v>1.6737967914438503</v>
      </c>
      <c r="J19">
        <v>0.8</v>
      </c>
      <c r="K19">
        <f t="shared" si="7"/>
        <v>4.5000000000000005E-2</v>
      </c>
      <c r="L19">
        <f t="shared" si="6"/>
        <v>1.3957894736741442E-2</v>
      </c>
      <c r="M19">
        <f t="shared" si="8"/>
        <v>0.79937977904338176</v>
      </c>
      <c r="N19">
        <f t="shared" si="9"/>
        <v>0.5557470477586659</v>
      </c>
      <c r="O19">
        <f t="shared" si="10"/>
        <v>7.0915789473482899E-2</v>
      </c>
      <c r="P19">
        <f t="shared" si="11"/>
        <v>0.74738454126501763</v>
      </c>
    </row>
    <row r="20" spans="5:16" x14ac:dyDescent="0.3">
      <c r="E20" s="5" t="s">
        <v>34</v>
      </c>
      <c r="F20">
        <f>F18*F17</f>
        <v>0.55761448351347098</v>
      </c>
      <c r="G20">
        <f>G18*G17</f>
        <v>0.7169329073515307</v>
      </c>
      <c r="H20" s="6">
        <f>H18*H17</f>
        <v>0.9559105430202286</v>
      </c>
    </row>
    <row r="21" spans="5:16" x14ac:dyDescent="0.3">
      <c r="E21" s="5" t="s">
        <v>35</v>
      </c>
      <c r="F21">
        <f>F9-1</f>
        <v>1</v>
      </c>
      <c r="G21">
        <f>G9-1</f>
        <v>1</v>
      </c>
      <c r="H21" s="6">
        <f>H9-1</f>
        <v>1</v>
      </c>
      <c r="J21" s="22" t="s">
        <v>48</v>
      </c>
      <c r="K21" s="22"/>
      <c r="L21" s="22"/>
      <c r="M21" s="22"/>
      <c r="N21" s="22"/>
      <c r="O21" s="22"/>
      <c r="P21" s="22"/>
    </row>
    <row r="22" spans="5:16" x14ac:dyDescent="0.3">
      <c r="E22" s="7" t="s">
        <v>36</v>
      </c>
      <c r="F22" s="8">
        <f>F9-F16</f>
        <v>2.1372549022503717</v>
      </c>
      <c r="G22" s="8">
        <f>G9-G16</f>
        <v>3.4705882353665194</v>
      </c>
      <c r="H22" s="9">
        <f>H9-H16</f>
        <v>5.4705882355735236</v>
      </c>
      <c r="J22" s="1" t="s">
        <v>23</v>
      </c>
      <c r="K22" s="1" t="s">
        <v>24</v>
      </c>
      <c r="L22" s="1" t="s">
        <v>40</v>
      </c>
      <c r="M22" t="s">
        <v>38</v>
      </c>
      <c r="N22" s="1" t="s">
        <v>50</v>
      </c>
      <c r="O22" t="s">
        <v>29</v>
      </c>
      <c r="P22" t="s">
        <v>30</v>
      </c>
    </row>
    <row r="23" spans="5:16" x14ac:dyDescent="0.3">
      <c r="J23">
        <v>0.2</v>
      </c>
      <c r="K23">
        <f>$H$8+($H$8*J23)</f>
        <v>3.0000000000000002E-2</v>
      </c>
      <c r="L23">
        <f>($H$14*(($H$3-K23*$H$17-$H$15*$H$10)/($H$9-$H$16+1)))</f>
        <v>1.6474545450381791E-2</v>
      </c>
      <c r="M23">
        <f>$H$20*(((L23*$H$21)+$H$10+K23)/((L23*$H$22)+$H$10))</f>
        <v>0.6424741356314837</v>
      </c>
      <c r="N23">
        <f>((1+M23)^-1)</f>
        <v>0.60883759342458621</v>
      </c>
      <c r="O23">
        <f>(($H$9*L23)+$H$10)</f>
        <v>7.5949090900763599E-2</v>
      </c>
      <c r="P23">
        <f>($H$19*M23)^(1/$H$7)</f>
        <v>0.9299115035497032</v>
      </c>
    </row>
    <row r="24" spans="5:16" x14ac:dyDescent="0.3">
      <c r="J24">
        <v>0.3</v>
      </c>
      <c r="K24">
        <f t="shared" ref="K24:K29" si="12">$H$8+($H$8*J24)</f>
        <v>3.2500000000000001E-2</v>
      </c>
      <c r="L24">
        <f t="shared" ref="L24:L29" si="13">($H$14*(($H$3-K24*$H$17-$H$15*$H$10)/($H$9-$H$16+1)))</f>
        <v>1.6211818177699039E-2</v>
      </c>
      <c r="M24">
        <f t="shared" ref="M24:M29" si="14">$H$20*(((L24*$H$21)+$H$10+K24)/((L24*$H$22)+$H$10))</f>
        <v>0.66572635992988316</v>
      </c>
      <c r="N24">
        <f t="shared" ref="N24:N29" si="15">((1+M24)^-1)</f>
        <v>0.60033870151523205</v>
      </c>
      <c r="O24">
        <f t="shared" ref="O24:O29" si="16">(($H$9*L24)+$H$10)</f>
        <v>7.5423636355398088E-2</v>
      </c>
      <c r="P24">
        <f t="shared" ref="P24:P29" si="17">($H$19*M24)^(1/$H$7)</f>
        <v>0.89743192611419809</v>
      </c>
    </row>
    <row r="25" spans="5:16" x14ac:dyDescent="0.3">
      <c r="J25">
        <v>0.4</v>
      </c>
      <c r="K25">
        <f t="shared" si="12"/>
        <v>3.5000000000000003E-2</v>
      </c>
      <c r="L25">
        <f t="shared" si="13"/>
        <v>1.594909090501628E-2</v>
      </c>
      <c r="M25">
        <f t="shared" si="14"/>
        <v>0.68949174437536176</v>
      </c>
      <c r="N25">
        <f t="shared" si="15"/>
        <v>0.59189398428799056</v>
      </c>
      <c r="O25">
        <f t="shared" si="16"/>
        <v>7.4898181810032577E-2</v>
      </c>
      <c r="P25">
        <f t="shared" si="17"/>
        <v>0.8664992646113806</v>
      </c>
    </row>
    <row r="26" spans="5:16" x14ac:dyDescent="0.3">
      <c r="J26">
        <v>0.5</v>
      </c>
      <c r="K26">
        <f t="shared" si="12"/>
        <v>3.7500000000000006E-2</v>
      </c>
      <c r="L26">
        <f t="shared" si="13"/>
        <v>1.5686363632333528E-2</v>
      </c>
      <c r="M26">
        <f t="shared" si="14"/>
        <v>0.71378746613421051</v>
      </c>
      <c r="N26">
        <f t="shared" si="15"/>
        <v>0.58350292539815307</v>
      </c>
      <c r="O26">
        <f t="shared" si="16"/>
        <v>7.4372727264667066E-2</v>
      </c>
      <c r="P26">
        <f t="shared" si="17"/>
        <v>0.83700557631329153</v>
      </c>
    </row>
    <row r="27" spans="5:16" x14ac:dyDescent="0.3">
      <c r="J27">
        <v>0.6</v>
      </c>
      <c r="K27">
        <f t="shared" si="12"/>
        <v>0.04</v>
      </c>
      <c r="L27">
        <f t="shared" si="13"/>
        <v>1.5423636359650777E-2</v>
      </c>
      <c r="M27">
        <f t="shared" si="14"/>
        <v>0.73863147765855675</v>
      </c>
      <c r="N27">
        <f t="shared" si="15"/>
        <v>0.57516501504201234</v>
      </c>
      <c r="O27">
        <f t="shared" si="16"/>
        <v>7.3847272719301568E-2</v>
      </c>
      <c r="P27">
        <f t="shared" si="17"/>
        <v>0.80885273309871897</v>
      </c>
    </row>
    <row r="28" spans="5:16" x14ac:dyDescent="0.3">
      <c r="J28">
        <v>0.7</v>
      </c>
      <c r="K28">
        <f t="shared" si="12"/>
        <v>4.2499999999999996E-2</v>
      </c>
      <c r="L28">
        <f t="shared" si="13"/>
        <v>1.5160909086968023E-2</v>
      </c>
      <c r="M28">
        <f t="shared" si="14"/>
        <v>0.76404255092589224</v>
      </c>
      <c r="N28">
        <f t="shared" si="15"/>
        <v>0.56687974985361345</v>
      </c>
      <c r="O28">
        <f t="shared" si="16"/>
        <v>7.3321818173936057E-2</v>
      </c>
      <c r="P28">
        <f t="shared" si="17"/>
        <v>0.78195133076406065</v>
      </c>
    </row>
    <row r="29" spans="5:16" x14ac:dyDescent="0.3">
      <c r="J29">
        <v>0.8</v>
      </c>
      <c r="K29">
        <f t="shared" si="12"/>
        <v>4.5000000000000005E-2</v>
      </c>
      <c r="L29">
        <f t="shared" si="13"/>
        <v>1.4898181814285269E-2</v>
      </c>
      <c r="M29">
        <f t="shared" si="14"/>
        <v>0.79004032474285735</v>
      </c>
      <c r="N29">
        <f t="shared" si="15"/>
        <v>0.55864663280345483</v>
      </c>
      <c r="O29">
        <f t="shared" si="16"/>
        <v>7.2796363628570546E-2</v>
      </c>
      <c r="P29">
        <f t="shared" si="17"/>
        <v>0.7562197406206137</v>
      </c>
    </row>
  </sheetData>
  <mergeCells count="5">
    <mergeCell ref="J1:P1"/>
    <mergeCell ref="B2:C2"/>
    <mergeCell ref="E13:H13"/>
    <mergeCell ref="J11:P11"/>
    <mergeCell ref="J21:P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17"/>
  <sheetViews>
    <sheetView workbookViewId="0">
      <selection activeCell="L27" sqref="L27"/>
    </sheetView>
  </sheetViews>
  <sheetFormatPr defaultRowHeight="14.4" x14ac:dyDescent="0.3"/>
  <sheetData>
    <row r="1" spans="1:50" x14ac:dyDescent="0.3">
      <c r="C1" s="26" t="s">
        <v>11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8" t="s">
        <v>58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 t="s">
        <v>44</v>
      </c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7" t="s">
        <v>57</v>
      </c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</row>
    <row r="2" spans="1:50" x14ac:dyDescent="0.3">
      <c r="A2" t="s">
        <v>45</v>
      </c>
      <c r="C2" t="s">
        <v>4</v>
      </c>
      <c r="D2" t="s">
        <v>5</v>
      </c>
      <c r="E2" t="s">
        <v>56</v>
      </c>
      <c r="F2" t="s">
        <v>51</v>
      </c>
      <c r="G2" t="s">
        <v>52</v>
      </c>
      <c r="H2" t="s">
        <v>53</v>
      </c>
      <c r="I2" t="s">
        <v>6</v>
      </c>
      <c r="J2" t="s">
        <v>7</v>
      </c>
      <c r="K2" t="s">
        <v>54</v>
      </c>
      <c r="L2" t="s">
        <v>8</v>
      </c>
      <c r="M2" t="s">
        <v>9</v>
      </c>
      <c r="N2" t="s">
        <v>55</v>
      </c>
      <c r="O2" t="s">
        <v>4</v>
      </c>
      <c r="P2" t="s">
        <v>5</v>
      </c>
      <c r="Q2" t="s">
        <v>56</v>
      </c>
      <c r="R2" t="s">
        <v>51</v>
      </c>
      <c r="S2" t="s">
        <v>52</v>
      </c>
      <c r="T2" t="s">
        <v>53</v>
      </c>
      <c r="U2" t="s">
        <v>6</v>
      </c>
      <c r="V2" t="s">
        <v>7</v>
      </c>
      <c r="W2" t="s">
        <v>54</v>
      </c>
      <c r="X2" t="s">
        <v>8</v>
      </c>
      <c r="Y2" t="s">
        <v>9</v>
      </c>
      <c r="Z2" t="s">
        <v>10</v>
      </c>
      <c r="AA2" t="s">
        <v>4</v>
      </c>
      <c r="AB2" t="s">
        <v>5</v>
      </c>
      <c r="AC2" t="s">
        <v>56</v>
      </c>
      <c r="AD2" t="s">
        <v>51</v>
      </c>
      <c r="AE2" t="s">
        <v>52</v>
      </c>
      <c r="AF2" t="s">
        <v>53</v>
      </c>
      <c r="AG2" t="s">
        <v>6</v>
      </c>
      <c r="AH2" t="s">
        <v>7</v>
      </c>
      <c r="AI2" t="s">
        <v>54</v>
      </c>
      <c r="AJ2" t="s">
        <v>8</v>
      </c>
      <c r="AK2" t="s">
        <v>9</v>
      </c>
      <c r="AL2" t="s">
        <v>55</v>
      </c>
      <c r="AM2" t="s">
        <v>4</v>
      </c>
      <c r="AN2" t="s">
        <v>5</v>
      </c>
      <c r="AO2" t="s">
        <v>56</v>
      </c>
      <c r="AP2" t="s">
        <v>51</v>
      </c>
      <c r="AQ2" t="s">
        <v>52</v>
      </c>
      <c r="AR2" t="s">
        <v>53</v>
      </c>
      <c r="AS2" t="s">
        <v>6</v>
      </c>
      <c r="AT2" t="s">
        <v>7</v>
      </c>
      <c r="AU2" t="s">
        <v>54</v>
      </c>
      <c r="AV2" t="s">
        <v>8</v>
      </c>
      <c r="AW2" t="s">
        <v>9</v>
      </c>
      <c r="AX2" t="s">
        <v>55</v>
      </c>
    </row>
    <row r="3" spans="1:50" x14ac:dyDescent="0.3">
      <c r="A3">
        <v>1.7000000000000001E-2</v>
      </c>
      <c r="C3">
        <f>shock_L!L3</f>
        <v>1.5916250000149346E-2</v>
      </c>
      <c r="D3">
        <f>shock_L!L13</f>
        <v>1.6239473684286659E-2</v>
      </c>
      <c r="E3">
        <f>shock_L!L23</f>
        <v>1.6474545454547344E-2</v>
      </c>
      <c r="F3">
        <f>shock_L!N3</f>
        <v>0.60049411597634317</v>
      </c>
      <c r="G3">
        <f>shock_L!N13</f>
        <v>0.60066175588756687</v>
      </c>
      <c r="H3">
        <f>shock_L!N23</f>
        <v>0.60135368602696371</v>
      </c>
      <c r="I3">
        <f>shock_L!O3</f>
        <v>7.4832500000298702E-2</v>
      </c>
      <c r="J3">
        <f>shock_L!O13</f>
        <v>7.5478947368573329E-2</v>
      </c>
      <c r="K3">
        <f>shock_L!O23</f>
        <v>7.5949090909094699E-2</v>
      </c>
      <c r="L3">
        <f>shock_L!P3</f>
        <v>0.89801345785047237</v>
      </c>
      <c r="M3">
        <f>shock_L!P13</f>
        <v>0.89864124237691234</v>
      </c>
      <c r="N3">
        <f>shock_L!P23</f>
        <v>0.90123799668247251</v>
      </c>
      <c r="O3">
        <f>shock_L_theta!L3</f>
        <v>1.5710780669333707E-2</v>
      </c>
      <c r="P3">
        <f>shock_L_theta!L13</f>
        <v>1.614370370379278E-2</v>
      </c>
      <c r="Q3">
        <f>shock_L_theta!L23</f>
        <v>1.6430541871923283E-2</v>
      </c>
      <c r="R3">
        <f>shock_L_theta!N3</f>
        <v>0.60024896882725354</v>
      </c>
      <c r="S3">
        <f>shock_L_theta!N13</f>
        <v>0.6002250679506983</v>
      </c>
      <c r="T3">
        <f>shock_L_theta!N23</f>
        <v>0.60095031102726715</v>
      </c>
      <c r="U3">
        <f>shock_L_theta!O3</f>
        <v>7.5066171004000565E-2</v>
      </c>
      <c r="V3">
        <f>shock_L_theta!O13</f>
        <v>7.5715555555689179E-2</v>
      </c>
      <c r="W3">
        <f>shock_L_theta!O23</f>
        <v>7.6145812807884933E-2</v>
      </c>
      <c r="X3">
        <f>shock_L_theta!P3</f>
        <v>0.89709636914845858</v>
      </c>
      <c r="Y3">
        <f>shock_L_theta!P13</f>
        <v>0.89700701680506678</v>
      </c>
      <c r="Z3">
        <f>shock_L_theta!P23</f>
        <v>0.89972307033934495</v>
      </c>
      <c r="AA3">
        <f>shock_L_psi!L3</f>
        <v>1.5916250000149346E-2</v>
      </c>
      <c r="AB3">
        <f>shock_L_psi!L13</f>
        <v>1.6239473684286659E-2</v>
      </c>
      <c r="AC3">
        <f>shock_L_psi!L23</f>
        <v>1.6474545454547344E-2</v>
      </c>
      <c r="AD3">
        <f>shock_L_psi!N3</f>
        <v>0.60049411597634317</v>
      </c>
      <c r="AE3">
        <f>shock_L_psi!N13</f>
        <v>0.60066175588756687</v>
      </c>
      <c r="AF3">
        <f>shock_L_psi!N23</f>
        <v>0.60135368602696371</v>
      </c>
      <c r="AG3">
        <f>shock_L_psi!O3</f>
        <v>7.4832500000298702E-2</v>
      </c>
      <c r="AH3">
        <f>shock_L_psi!O13</f>
        <v>7.5478947368573329E-2</v>
      </c>
      <c r="AI3">
        <f>shock_L_psi!O23</f>
        <v>7.5949090909094699E-2</v>
      </c>
      <c r="AJ3">
        <f>shock_L_psi!P3</f>
        <v>0.85167304686440348</v>
      </c>
      <c r="AK3">
        <f>shock_L_psi!P13</f>
        <v>0.85256183984511724</v>
      </c>
      <c r="AL3">
        <f>shock_L_psi!P23</f>
        <v>0.85624147193128564</v>
      </c>
      <c r="AM3">
        <f>shock_delta!L3</f>
        <v>1.5916249999541089E-2</v>
      </c>
      <c r="AN3">
        <f>shock_delta!L13</f>
        <v>1.6239473684059372E-2</v>
      </c>
      <c r="AO3">
        <f>shock_delta!L23</f>
        <v>1.6474545450381791E-2</v>
      </c>
      <c r="AP3">
        <f>shock_delta!N3</f>
        <v>0.60835905338122342</v>
      </c>
      <c r="AQ3">
        <f>shock_delta!N13</f>
        <v>0.60830774847299984</v>
      </c>
      <c r="AR3">
        <f>shock_delta!N23</f>
        <v>0.60883759342458621</v>
      </c>
      <c r="AS3">
        <f>shock_delta!O3</f>
        <v>7.4832499999082189E-2</v>
      </c>
      <c r="AT3">
        <f>shock_delta!O13</f>
        <v>7.5478947368118748E-2</v>
      </c>
      <c r="AU3">
        <f>shock_delta!O23</f>
        <v>7.5949090900763599E-2</v>
      </c>
      <c r="AV3">
        <f>shock_delta!P3</f>
        <v>0.92804525126424109</v>
      </c>
      <c r="AW3">
        <f>shock_delta!P13</f>
        <v>0.92784543855332702</v>
      </c>
      <c r="AX3">
        <f>shock_delta!P23</f>
        <v>0.9299115035497032</v>
      </c>
    </row>
    <row r="4" spans="1:50" x14ac:dyDescent="0.3">
      <c r="A4">
        <f>1-0.374</f>
        <v>0.626</v>
      </c>
      <c r="C4">
        <f>shock_L!L4</f>
        <v>1.5374375000175846E-2</v>
      </c>
      <c r="D4">
        <f>shock_L!L14</f>
        <v>1.5859210526405241E-2</v>
      </c>
      <c r="E4">
        <f>shock_L!L24</f>
        <v>1.6211818181820374E-2</v>
      </c>
      <c r="F4">
        <f>shock_L!N4</f>
        <v>0.58796737470039107</v>
      </c>
      <c r="G4">
        <f>shock_L!N14</f>
        <v>0.58827532478500921</v>
      </c>
      <c r="H4">
        <f>shock_L!N24</f>
        <v>0.58937169393518074</v>
      </c>
      <c r="I4">
        <f>shock_L!O4</f>
        <v>7.3748750000351707E-2</v>
      </c>
      <c r="J4">
        <f>shock_L!O14</f>
        <v>7.4718421052810485E-2</v>
      </c>
      <c r="K4">
        <f>shock_L!O24</f>
        <v>7.5423636363640759E-2</v>
      </c>
      <c r="L4">
        <f>shock_L!P4</f>
        <v>0.85254810235667577</v>
      </c>
      <c r="M4">
        <f>shock_L!P14</f>
        <v>0.85363262617816249</v>
      </c>
      <c r="N4">
        <f>shock_L!P24</f>
        <v>0.85750697122953223</v>
      </c>
      <c r="O4">
        <f>shock_L_theta!L4</f>
        <v>1.5066171003943257E-2</v>
      </c>
      <c r="P4">
        <f>shock_L_theta!L14</f>
        <v>1.5715555555661301E-2</v>
      </c>
      <c r="Q4">
        <f>shock_L_theta!L24</f>
        <v>1.6145812807884227E-2</v>
      </c>
      <c r="R4">
        <f>shock_L_theta!N4</f>
        <v>0.58765959715653315</v>
      </c>
      <c r="S4">
        <f>shock_L_theta!N14</f>
        <v>0.58765682777858297</v>
      </c>
      <c r="T4">
        <f>shock_L_theta!N24</f>
        <v>0.58879032279471644</v>
      </c>
      <c r="U4">
        <f>shock_L_theta!O4</f>
        <v>7.4099256505914896E-2</v>
      </c>
      <c r="V4">
        <f>shock_L_theta!O14</f>
        <v>7.5073333333491948E-2</v>
      </c>
      <c r="W4">
        <f>shock_L_theta!O24</f>
        <v>7.5718719211826352E-2</v>
      </c>
      <c r="X4">
        <f>shock_L_theta!P4</f>
        <v>0.85146580473962918</v>
      </c>
      <c r="Y4">
        <f>shock_L_theta!P14</f>
        <v>0.85145607357543585</v>
      </c>
      <c r="Z4">
        <f>shock_L_theta!P24</f>
        <v>0.85544995116322498</v>
      </c>
      <c r="AA4">
        <f>shock_L_psi!L4</f>
        <v>1.5374375000175846E-2</v>
      </c>
      <c r="AB4">
        <f>shock_L_psi!L14</f>
        <v>1.5859210526405241E-2</v>
      </c>
      <c r="AC4">
        <f>shock_L_psi!L24</f>
        <v>1.6211818181820374E-2</v>
      </c>
      <c r="AD4">
        <f>shock_L_psi!N4</f>
        <v>0.58796737470039107</v>
      </c>
      <c r="AE4">
        <f>shock_L_psi!N14</f>
        <v>0.58827532478500921</v>
      </c>
      <c r="AF4">
        <f>shock_L_psi!N24</f>
        <v>0.58937169393518074</v>
      </c>
      <c r="AG4">
        <f>shock_L_psi!O4</f>
        <v>7.3748750000351707E-2</v>
      </c>
      <c r="AH4">
        <f>shock_L_psi!O14</f>
        <v>7.4718421052810485E-2</v>
      </c>
      <c r="AI4">
        <f>shock_L_psi!O24</f>
        <v>7.5423636363640759E-2</v>
      </c>
      <c r="AJ4">
        <f>shock_L_psi!P4</f>
        <v>0.78812546705442255</v>
      </c>
      <c r="AK4">
        <f>shock_L_psi!P14</f>
        <v>0.78962231183182097</v>
      </c>
      <c r="AL4">
        <f>shock_L_psi!P24</f>
        <v>0.79497727737165069</v>
      </c>
      <c r="AM4">
        <f>shock_delta!L4</f>
        <v>1.5374374999604382E-2</v>
      </c>
      <c r="AN4">
        <f>shock_delta!L14</f>
        <v>1.5859210526173052E-2</v>
      </c>
      <c r="AO4">
        <f>shock_delta!L24</f>
        <v>1.6211818177699039E-2</v>
      </c>
      <c r="AP4">
        <f>shock_delta!N4</f>
        <v>0.59952472610942753</v>
      </c>
      <c r="AQ4">
        <f>shock_delta!N14</f>
        <v>0.5994940732695303</v>
      </c>
      <c r="AR4">
        <f>shock_delta!N24</f>
        <v>0.60033870151523205</v>
      </c>
      <c r="AS4">
        <f>shock_delta!O4</f>
        <v>7.3748749999208774E-2</v>
      </c>
      <c r="AT4">
        <f>shock_delta!O14</f>
        <v>7.4718421052346107E-2</v>
      </c>
      <c r="AU4">
        <f>shock_delta!O24</f>
        <v>7.5423636355398088E-2</v>
      </c>
      <c r="AV4">
        <f>shock_delta!P4</f>
        <v>0.89439355548127297</v>
      </c>
      <c r="AW4">
        <f>shock_delta!P14</f>
        <v>0.89427937724462037</v>
      </c>
      <c r="AX4">
        <f>shock_delta!P24</f>
        <v>0.89743192611419809</v>
      </c>
    </row>
    <row r="5" spans="1:50" x14ac:dyDescent="0.3">
      <c r="A5">
        <v>7.6999999999999999E-2</v>
      </c>
      <c r="C5">
        <f>shock_L!L5</f>
        <v>1.4832500000202344E-2</v>
      </c>
      <c r="D5">
        <f>shock_L!L15</f>
        <v>1.5478947368523814E-2</v>
      </c>
      <c r="E5">
        <f>shock_L!L25</f>
        <v>1.5949090909093404E-2</v>
      </c>
      <c r="F5">
        <f>shock_L!N5</f>
        <v>0.57558788851723341</v>
      </c>
      <c r="G5">
        <f>shock_L!N15</f>
        <v>0.57607178878806009</v>
      </c>
      <c r="H5">
        <f>shock_L!N25</f>
        <v>0.57760882622855725</v>
      </c>
      <c r="I5">
        <f>shock_L!O5</f>
        <v>7.2665000000404698E-2</v>
      </c>
      <c r="J5">
        <f>shock_L!O15</f>
        <v>7.3957894737047641E-2</v>
      </c>
      <c r="K5">
        <f>shock_L!O25</f>
        <v>7.4898181818186818E-2</v>
      </c>
      <c r="L5">
        <f>shock_L!P5</f>
        <v>0.8102539316235885</v>
      </c>
      <c r="M5">
        <f>shock_L!P15</f>
        <v>0.81186077314917504</v>
      </c>
      <c r="N5">
        <f>shock_L!P25</f>
        <v>0.81698908660222158</v>
      </c>
      <c r="O5">
        <f>shock_L_theta!L5</f>
        <v>1.44215613385528E-2</v>
      </c>
      <c r="P5">
        <f>shock_L_theta!L15</f>
        <v>1.5287407407529817E-2</v>
      </c>
      <c r="Q5">
        <f>shock_L_theta!L25</f>
        <v>1.5861083743845168E-2</v>
      </c>
      <c r="R5">
        <f>shock_L_theta!N5</f>
        <v>0.57525537701569307</v>
      </c>
      <c r="S5">
        <f>shock_L_theta!N15</f>
        <v>0.57529443368365163</v>
      </c>
      <c r="T5">
        <f>shock_L_theta!N25</f>
        <v>0.57686421538031141</v>
      </c>
      <c r="U5">
        <f>shock_L_theta!O5</f>
        <v>7.3132342007829199E-2</v>
      </c>
      <c r="V5">
        <f>shock_L_theta!O15</f>
        <v>7.4431111111294732E-2</v>
      </c>
      <c r="W5">
        <f>shock_L_theta!O25</f>
        <v>7.5291625615767757E-2</v>
      </c>
      <c r="X5">
        <f>shock_L_theta!P5</f>
        <v>0.80915191465297653</v>
      </c>
      <c r="Y5">
        <f>shock_L_theta!P15</f>
        <v>0.80928126768585729</v>
      </c>
      <c r="Z5">
        <f>shock_L_theta!P25</f>
        <v>0.81450004567187562</v>
      </c>
      <c r="AA5">
        <f>shock_L_psi!L5</f>
        <v>1.4832500000202344E-2</v>
      </c>
      <c r="AB5">
        <f>shock_L_psi!L15</f>
        <v>1.5478947368523814E-2</v>
      </c>
      <c r="AC5">
        <f>shock_L_psi!L25</f>
        <v>1.5949090909093404E-2</v>
      </c>
      <c r="AD5">
        <f>shock_L_psi!N5</f>
        <v>0.57558788851723341</v>
      </c>
      <c r="AE5">
        <f>shock_L_psi!N15</f>
        <v>0.57607178878806009</v>
      </c>
      <c r="AF5">
        <f>shock_L_psi!N25</f>
        <v>0.57760882622855725</v>
      </c>
      <c r="AG5">
        <f>shock_L_psi!O5</f>
        <v>7.2665000000404698E-2</v>
      </c>
      <c r="AH5">
        <f>shock_L_psi!O15</f>
        <v>7.3957894737047641E-2</v>
      </c>
      <c r="AI5">
        <f>shock_L_psi!O25</f>
        <v>7.4898181818186818E-2</v>
      </c>
      <c r="AJ5">
        <f>shock_L_psi!P5</f>
        <v>0.7304889525320919</v>
      </c>
      <c r="AK5">
        <f>shock_L_psi!P15</f>
        <v>0.73265218268908527</v>
      </c>
      <c r="AL5">
        <f>shock_L_psi!P25</f>
        <v>0.73957033947873607</v>
      </c>
      <c r="AM5">
        <f>shock_delta!L5</f>
        <v>1.4832499999667671E-2</v>
      </c>
      <c r="AN5">
        <f>shock_delta!L15</f>
        <v>1.5478947368286727E-2</v>
      </c>
      <c r="AO5">
        <f>shock_delta!L25</f>
        <v>1.594909090501628E-2</v>
      </c>
      <c r="AP5">
        <f>shock_delta!N5</f>
        <v>0.59068114351176326</v>
      </c>
      <c r="AQ5">
        <f>shock_delta!N15</f>
        <v>0.5907019260893297</v>
      </c>
      <c r="AR5">
        <f>shock_delta!N25</f>
        <v>0.59189398428799056</v>
      </c>
      <c r="AS5">
        <f>shock_delta!O5</f>
        <v>7.2664999999335345E-2</v>
      </c>
      <c r="AT5">
        <f>shock_delta!O15</f>
        <v>7.3957894736573465E-2</v>
      </c>
      <c r="AU5">
        <f>shock_delta!O25</f>
        <v>7.4898181810032577E-2</v>
      </c>
      <c r="AV5">
        <f>shock_delta!P5</f>
        <v>0.86216149671782683</v>
      </c>
      <c r="AW5">
        <f>shock_delta!P15</f>
        <v>0.86223560985992187</v>
      </c>
      <c r="AX5">
        <f>shock_delta!P25</f>
        <v>0.8664992646113806</v>
      </c>
    </row>
    <row r="6" spans="1:50" x14ac:dyDescent="0.3">
      <c r="A6">
        <v>1</v>
      </c>
      <c r="C6">
        <f>shock_L!L6</f>
        <v>1.4290625000228839E-2</v>
      </c>
      <c r="D6">
        <f>shock_L!L16</f>
        <v>1.5098684210642387E-2</v>
      </c>
      <c r="E6">
        <f>shock_L!L26</f>
        <v>1.568636363636643E-2</v>
      </c>
      <c r="F6">
        <f>shock_L!N6</f>
        <v>0.56335307606643636</v>
      </c>
      <c r="G6">
        <f>shock_L!N16</f>
        <v>0.56404712670602952</v>
      </c>
      <c r="H6">
        <f>shock_L!N26</f>
        <v>0.56605912641526712</v>
      </c>
      <c r="I6">
        <f>shock_L!O6</f>
        <v>7.1581250000457688E-2</v>
      </c>
      <c r="J6">
        <f>shock_L!O16</f>
        <v>7.3197368421284784E-2</v>
      </c>
      <c r="K6">
        <f>shock_L!O26</f>
        <v>7.4372727272732864E-2</v>
      </c>
      <c r="L6">
        <f>shock_L!P6</f>
        <v>0.77081034383846492</v>
      </c>
      <c r="M6">
        <f>shock_L!P16</f>
        <v>0.77298864778535625</v>
      </c>
      <c r="N6">
        <f>shock_L!P26</f>
        <v>0.77934276291187876</v>
      </c>
      <c r="O6">
        <f>shock_L_theta!L6</f>
        <v>1.3776951673162339E-2</v>
      </c>
      <c r="P6">
        <f>shock_L_theta!L16</f>
        <v>1.4859259259398331E-2</v>
      </c>
      <c r="Q6">
        <f>shock_L_theta!L26</f>
        <v>1.5576354679806111E-2</v>
      </c>
      <c r="R6">
        <f>shock_L_theta!N6</f>
        <v>0.56303225369359489</v>
      </c>
      <c r="S6">
        <f>shock_L_theta!N16</f>
        <v>0.56313286963776377</v>
      </c>
      <c r="T6">
        <f>shock_L_theta!N26</f>
        <v>0.56516530548743626</v>
      </c>
      <c r="U6">
        <f>shock_L_theta!O6</f>
        <v>7.2165427509743515E-2</v>
      </c>
      <c r="V6">
        <f>shock_L_theta!O16</f>
        <v>7.3788888889097501E-2</v>
      </c>
      <c r="W6">
        <f>shock_L_theta!O26</f>
        <v>7.4864532019709162E-2</v>
      </c>
      <c r="X6">
        <f>shock_L_theta!P6</f>
        <v>0.76980576938725853</v>
      </c>
      <c r="Y6">
        <f>shock_L_theta!P16</f>
        <v>0.77012066406781843</v>
      </c>
      <c r="Z6">
        <f>shock_L_theta!P26</f>
        <v>0.77651271986945525</v>
      </c>
      <c r="AA6">
        <f>shock_L_psi!L6</f>
        <v>1.4290625000228839E-2</v>
      </c>
      <c r="AB6">
        <f>shock_L_psi!L16</f>
        <v>1.5098684210642387E-2</v>
      </c>
      <c r="AC6">
        <f>shock_L_psi!L26</f>
        <v>1.568636363636643E-2</v>
      </c>
      <c r="AD6">
        <f>shock_L_psi!N6</f>
        <v>0.56335307606643636</v>
      </c>
      <c r="AE6">
        <f>shock_L_psi!N16</f>
        <v>0.56404712670602952</v>
      </c>
      <c r="AF6">
        <f>shock_L_psi!N26</f>
        <v>0.56605912641526712</v>
      </c>
      <c r="AG6">
        <f>shock_L_psi!O6</f>
        <v>7.1581250000457688E-2</v>
      </c>
      <c r="AH6">
        <f>shock_L_psi!O16</f>
        <v>7.3197368421284784E-2</v>
      </c>
      <c r="AI6">
        <f>shock_L_psi!O26</f>
        <v>7.4372727272732864E-2</v>
      </c>
      <c r="AJ6">
        <f>shock_L_psi!P6</f>
        <v>0.67805508324079622</v>
      </c>
      <c r="AK6">
        <f>shock_L_psi!P16</f>
        <v>0.6809170403250191</v>
      </c>
      <c r="AL6">
        <f>shock_L_psi!P26</f>
        <v>0.68928806136975396</v>
      </c>
      <c r="AM6">
        <f>shock_delta!L6</f>
        <v>1.429062499973096E-2</v>
      </c>
      <c r="AN6">
        <f>shock_delta!L16</f>
        <v>1.509868421040041E-2</v>
      </c>
      <c r="AO6">
        <f>shock_delta!L26</f>
        <v>1.5686363632333528E-2</v>
      </c>
      <c r="AP6">
        <f>shock_delta!N6</f>
        <v>0.58182829103602707</v>
      </c>
      <c r="AQ6">
        <f>shock_delta!N16</f>
        <v>0.58193122815303733</v>
      </c>
      <c r="AR6">
        <f>shock_delta!N26</f>
        <v>0.58350292539815307</v>
      </c>
      <c r="AS6">
        <f>shock_delta!O6</f>
        <v>7.1581249999461929E-2</v>
      </c>
      <c r="AT6">
        <f>shock_delta!O16</f>
        <v>7.3197368420800824E-2</v>
      </c>
      <c r="AU6">
        <f>shock_delta!O26</f>
        <v>7.4372727264667066E-2</v>
      </c>
      <c r="AV6">
        <f>shock_delta!P6</f>
        <v>0.8312610970729567</v>
      </c>
      <c r="AW6">
        <f>shock_delta!P16</f>
        <v>0.83161287362950109</v>
      </c>
      <c r="AX6">
        <f>shock_delta!P26</f>
        <v>0.83700557631329153</v>
      </c>
    </row>
    <row r="7" spans="1:50" x14ac:dyDescent="0.3">
      <c r="C7">
        <f>shock_L!L7</f>
        <v>1.3748750000255338E-2</v>
      </c>
      <c r="D7">
        <f>shock_L!L17</f>
        <v>1.4718421052760966E-2</v>
      </c>
      <c r="E7">
        <f>shock_L!L27</f>
        <v>1.5423636363639462E-2</v>
      </c>
      <c r="F7">
        <f>shock_L!N7</f>
        <v>0.55126041597156128</v>
      </c>
      <c r="G7">
        <f>shock_L!N17</f>
        <v>0.55219743437217639</v>
      </c>
      <c r="H7">
        <f>shock_L!N27</f>
        <v>0.55471685195318543</v>
      </c>
      <c r="I7">
        <f>shock_L!O7</f>
        <v>7.0497500000510693E-2</v>
      </c>
      <c r="J7">
        <f>shock_L!O17</f>
        <v>7.243684210552194E-2</v>
      </c>
      <c r="K7">
        <f>shock_L!O27</f>
        <v>7.3847272727278937E-2</v>
      </c>
      <c r="L7">
        <f>shock_L!P7</f>
        <v>0.73393854475042697</v>
      </c>
      <c r="M7">
        <f>shock_L!P17</f>
        <v>0.7367244377360167</v>
      </c>
      <c r="N7">
        <f>shock_L!P27</f>
        <v>0.74427317983008145</v>
      </c>
      <c r="O7">
        <f>shock_L_theta!L7</f>
        <v>1.3132342007771884E-2</v>
      </c>
      <c r="P7">
        <f>shock_L_theta!L17</f>
        <v>1.4431111111266855E-2</v>
      </c>
      <c r="Q7">
        <f>shock_L_theta!L27</f>
        <v>1.5291625615767055E-2</v>
      </c>
      <c r="R7">
        <f>shock_L_theta!N7</f>
        <v>0.55098629001553712</v>
      </c>
      <c r="S7">
        <f>shock_L_theta!N17</f>
        <v>0.55116728127282999</v>
      </c>
      <c r="T7">
        <f>shock_L_theta!N27</f>
        <v>0.55368716205626634</v>
      </c>
      <c r="U7">
        <f>shock_L_theta!O7</f>
        <v>7.1198513011657832E-2</v>
      </c>
      <c r="V7">
        <f>shock_L_theta!O17</f>
        <v>7.3146666666900284E-2</v>
      </c>
      <c r="W7">
        <f>shock_L_theta!O27</f>
        <v>7.4437438423650581E-2</v>
      </c>
      <c r="X7">
        <f>shock_L_theta!P7</f>
        <v>0.73312572650162844</v>
      </c>
      <c r="Y7">
        <f>shock_L_theta!P17</f>
        <v>0.73366227718935284</v>
      </c>
      <c r="Z7">
        <f>shock_L_theta!P27</f>
        <v>0.74117769926297139</v>
      </c>
      <c r="AA7">
        <f>shock_L_psi!L7</f>
        <v>1.3748750000255338E-2</v>
      </c>
      <c r="AB7">
        <f>shock_L_psi!L17</f>
        <v>1.4718421052760966E-2</v>
      </c>
      <c r="AC7">
        <f>shock_L_psi!L27</f>
        <v>1.5423636363639462E-2</v>
      </c>
      <c r="AD7">
        <f>shock_L_psi!N7</f>
        <v>0.55126041597156128</v>
      </c>
      <c r="AE7">
        <f>shock_L_psi!N17</f>
        <v>0.55219743437217639</v>
      </c>
      <c r="AF7">
        <f>shock_L_psi!N27</f>
        <v>0.55471685195318543</v>
      </c>
      <c r="AG7">
        <f>shock_L_psi!O7</f>
        <v>7.0497500000510693E-2</v>
      </c>
      <c r="AH7">
        <f>shock_L_psi!O17</f>
        <v>7.243684210552194E-2</v>
      </c>
      <c r="AI7">
        <f>shock_L_psi!O27</f>
        <v>7.3847272727278937E-2</v>
      </c>
      <c r="AJ7">
        <f>shock_L_psi!P7</f>
        <v>0.6302198590441469</v>
      </c>
      <c r="AK7">
        <f>shock_L_psi!P17</f>
        <v>0.63379363678280287</v>
      </c>
      <c r="AL7">
        <f>shock_L_psi!P27</f>
        <v>0.6435107037536334</v>
      </c>
      <c r="AM7">
        <f>shock_delta!L7</f>
        <v>1.3748749999794252E-2</v>
      </c>
      <c r="AN7">
        <f>shock_delta!L17</f>
        <v>1.4718421052514086E-2</v>
      </c>
      <c r="AO7">
        <f>shock_delta!L27</f>
        <v>1.5423636359650777E-2</v>
      </c>
      <c r="AP7">
        <f>shock_delta!N7</f>
        <v>0.57296615409949203</v>
      </c>
      <c r="AQ7">
        <f>shock_delta!N17</f>
        <v>0.5731819010652035</v>
      </c>
      <c r="AR7">
        <f>shock_delta!N27</f>
        <v>0.57516501504201234</v>
      </c>
      <c r="AS7">
        <f>shock_delta!O7</f>
        <v>7.0497499999588514E-2</v>
      </c>
      <c r="AT7">
        <f>shock_delta!O17</f>
        <v>7.2436842105028182E-2</v>
      </c>
      <c r="AU7">
        <f>shock_delta!O27</f>
        <v>7.3847272719301568E-2</v>
      </c>
      <c r="AV7">
        <f>shock_delta!P7</f>
        <v>0.80161150108305268</v>
      </c>
      <c r="AW7">
        <f>shock_delta!P17</f>
        <v>0.8023186922712281</v>
      </c>
      <c r="AX7">
        <f>shock_delta!P27</f>
        <v>0.80885273309871897</v>
      </c>
    </row>
    <row r="8" spans="1:50" x14ac:dyDescent="0.3">
      <c r="C8">
        <f>shock_L!L8</f>
        <v>1.3206875000281837E-2</v>
      </c>
      <c r="D8">
        <f>shock_L!L18</f>
        <v>1.4338157894879548E-2</v>
      </c>
      <c r="E8">
        <f>shock_L!L28</f>
        <v>1.5160909090912486E-2</v>
      </c>
      <c r="F8">
        <f>shock_L!N8</f>
        <v>0.53930744510789153</v>
      </c>
      <c r="G8">
        <f>shock_L!N18</f>
        <v>0.54051892041744509</v>
      </c>
      <c r="H8">
        <f>shock_L!N28</f>
        <v>0.54357646472937304</v>
      </c>
      <c r="I8">
        <f>shock_L!O8</f>
        <v>6.9413750000563684E-2</v>
      </c>
      <c r="J8">
        <f>shock_L!O18</f>
        <v>7.167631578975911E-2</v>
      </c>
      <c r="K8">
        <f>shock_L!O28</f>
        <v>7.3321818181824983E-2</v>
      </c>
      <c r="L8">
        <f>shock_L!P8</f>
        <v>0.69939494801528412</v>
      </c>
      <c r="M8">
        <f>shock_L!P18</f>
        <v>0.70281421497572139</v>
      </c>
      <c r="N8">
        <f>shock_L!P28</f>
        <v>0.71152454009161992</v>
      </c>
      <c r="O8">
        <f>shock_L_theta!L8</f>
        <v>1.248773234238143E-2</v>
      </c>
      <c r="P8">
        <f>shock_L_theta!L18</f>
        <v>1.4002962963135376E-2</v>
      </c>
      <c r="Q8">
        <f>shock_L_theta!L28</f>
        <v>1.5006896551727992E-2</v>
      </c>
      <c r="R8">
        <f>shock_L_theta!N8</f>
        <v>0.53911366211501943</v>
      </c>
      <c r="S8">
        <f>shock_L_theta!N18</f>
        <v>0.53939296942024884</v>
      </c>
      <c r="T8">
        <f>shock_L_theta!N28</f>
        <v>0.54242359447529287</v>
      </c>
      <c r="U8">
        <f>shock_L_theta!O8</f>
        <v>7.0231598513572149E-2</v>
      </c>
      <c r="V8">
        <f>shock_L_theta!O18</f>
        <v>7.2504444444703067E-2</v>
      </c>
      <c r="W8">
        <f>shock_L_theta!O28</f>
        <v>7.4010344827592001E-2</v>
      </c>
      <c r="X8">
        <f>shock_L_theta!P8</f>
        <v>0.69884968266611358</v>
      </c>
      <c r="Y8">
        <f>shock_L_theta!P18</f>
        <v>0.69963574170611909</v>
      </c>
      <c r="Z8">
        <f>shock_L_theta!P28</f>
        <v>0.70822657503417763</v>
      </c>
      <c r="AA8">
        <f>shock_L_psi!L8</f>
        <v>1.3206875000281837E-2</v>
      </c>
      <c r="AB8">
        <f>shock_L_psi!L18</f>
        <v>1.4338157894879548E-2</v>
      </c>
      <c r="AC8">
        <f>shock_L_psi!L28</f>
        <v>1.5160909090912486E-2</v>
      </c>
      <c r="AD8">
        <f>shock_L_psi!N8</f>
        <v>0.53930744510789153</v>
      </c>
      <c r="AE8">
        <f>shock_L_psi!N18</f>
        <v>0.54051892041744509</v>
      </c>
      <c r="AF8">
        <f>shock_L_psi!N28</f>
        <v>0.54357646472937304</v>
      </c>
      <c r="AG8">
        <f>shock_L_psi!O8</f>
        <v>6.9413750000563684E-2</v>
      </c>
      <c r="AH8">
        <f>shock_L_psi!O18</f>
        <v>7.167631578975911E-2</v>
      </c>
      <c r="AI8">
        <f>shock_L_psi!O28</f>
        <v>7.3321818181824983E-2</v>
      </c>
      <c r="AJ8">
        <f>shock_L_psi!P8</f>
        <v>0.5864655739891087</v>
      </c>
      <c r="AK8">
        <f>shock_L_psi!P18</f>
        <v>0.59075007625326414</v>
      </c>
      <c r="AL8">
        <f>shock_L_psi!P28</f>
        <v>0.60171090920831438</v>
      </c>
      <c r="AM8">
        <f>shock_delta!L8</f>
        <v>1.3206874999857543E-2</v>
      </c>
      <c r="AN8">
        <f>shock_delta!L18</f>
        <v>1.4338157894627763E-2</v>
      </c>
      <c r="AO8">
        <f>shock_delta!L28</f>
        <v>1.5160909086968023E-2</v>
      </c>
      <c r="AP8">
        <f>shock_delta!N8</f>
        <v>0.56409471808882816</v>
      </c>
      <c r="AQ8">
        <f>shock_delta!N18</f>
        <v>0.56445386681195264</v>
      </c>
      <c r="AR8">
        <f>shock_delta!N28</f>
        <v>0.56687974985361345</v>
      </c>
      <c r="AS8">
        <f>shock_delta!O8</f>
        <v>6.9413749999715099E-2</v>
      </c>
      <c r="AT8">
        <f>shock_delta!O18</f>
        <v>7.167631578925554E-2</v>
      </c>
      <c r="AU8">
        <f>shock_delta!O28</f>
        <v>7.3321818173936057E-2</v>
      </c>
      <c r="AV8">
        <f>shock_delta!P8</f>
        <v>0.77313826925521334</v>
      </c>
      <c r="AW8">
        <f>shock_delta!P18</f>
        <v>0.77426844322889854</v>
      </c>
      <c r="AX8">
        <f>shock_delta!P28</f>
        <v>0.78195133076406065</v>
      </c>
    </row>
    <row r="9" spans="1:50" x14ac:dyDescent="0.3">
      <c r="C9">
        <f>shock_L!L9</f>
        <v>1.2665000000308332E-2</v>
      </c>
      <c r="D9">
        <f>shock_L!L19</f>
        <v>1.3957894736998122E-2</v>
      </c>
      <c r="E9">
        <f>shock_L!L29</f>
        <v>1.4898181818185512E-2</v>
      </c>
      <c r="F9">
        <f>shock_L!N9</f>
        <v>0.52749175692984562</v>
      </c>
      <c r="G9">
        <f>shock_L!N19</f>
        <v>0.52900790222604377</v>
      </c>
      <c r="H9">
        <f>shock_L!N29</f>
        <v>0.53263262204346129</v>
      </c>
      <c r="I9">
        <f>shock_L!O9</f>
        <v>6.8330000000616675E-2</v>
      </c>
      <c r="J9">
        <f>shock_L!O19</f>
        <v>7.0915789473996252E-2</v>
      </c>
      <c r="K9">
        <f>shock_L!O29</f>
        <v>7.2796363636371042E-2</v>
      </c>
      <c r="L9">
        <f>shock_L!P9</f>
        <v>0.66696578744799828</v>
      </c>
      <c r="M9">
        <f>shock_L!P19</f>
        <v>0.67103598118669616</v>
      </c>
      <c r="N9">
        <f>shock_L!P29</f>
        <v>0.68087381982696271</v>
      </c>
      <c r="O9">
        <f>shock_L_theta!L9</f>
        <v>1.184312267699097E-2</v>
      </c>
      <c r="P9">
        <f>shock_L_theta!L19</f>
        <v>1.357481481500389E-2</v>
      </c>
      <c r="Q9">
        <f>shock_L_theta!L29</f>
        <v>1.4722167487688936E-2</v>
      </c>
      <c r="R9">
        <f>shock_L_theta!N9</f>
        <v>0.52741065538672993</v>
      </c>
      <c r="S9">
        <f>shock_L_theta!N19</f>
        <v>0.52780538395771592</v>
      </c>
      <c r="T9">
        <f>shock_L_theta!N29</f>
        <v>0.53136864144785734</v>
      </c>
      <c r="U9">
        <f>shock_L_theta!O9</f>
        <v>6.9264684015486466E-2</v>
      </c>
      <c r="V9">
        <f>shock_L_theta!O19</f>
        <v>7.1862222222505837E-2</v>
      </c>
      <c r="W9">
        <f>shock_L_theta!O29</f>
        <v>7.3583251231533406E-2</v>
      </c>
      <c r="X9">
        <f>shock_L_theta!P9</f>
        <v>0.66674880076957099</v>
      </c>
      <c r="Y9">
        <f>shock_L_theta!P19</f>
        <v>0.66780559607399925</v>
      </c>
      <c r="Z9">
        <f>shock_L_theta!P29</f>
        <v>0.67742597323526277</v>
      </c>
      <c r="AA9">
        <f>shock_L_psi!L9</f>
        <v>1.2665000000308332E-2</v>
      </c>
      <c r="AB9">
        <f>shock_L_psi!L19</f>
        <v>1.3957894736998122E-2</v>
      </c>
      <c r="AC9">
        <f>shock_L_psi!L29</f>
        <v>1.4898181818185512E-2</v>
      </c>
      <c r="AD9">
        <f>shock_L_psi!N9</f>
        <v>0.52749175692984562</v>
      </c>
      <c r="AE9">
        <f>shock_L_psi!N19</f>
        <v>0.52900790222604377</v>
      </c>
      <c r="AF9">
        <f>shock_L_psi!N29</f>
        <v>0.53263262204346129</v>
      </c>
      <c r="AG9">
        <f>shock_L_psi!O9</f>
        <v>6.8330000000616675E-2</v>
      </c>
      <c r="AH9">
        <f>shock_L_psi!O19</f>
        <v>7.0915789473996252E-2</v>
      </c>
      <c r="AI9">
        <f>shock_L_psi!O29</f>
        <v>7.2796363636371042E-2</v>
      </c>
      <c r="AJ9">
        <f>shock_L_psi!P9</f>
        <v>0.54634628648254935</v>
      </c>
      <c r="AK9">
        <f>shock_L_psi!P19</f>
        <v>0.55133003642380185</v>
      </c>
      <c r="AL9">
        <f>shock_L_psi!P29</f>
        <v>0.56343746917374926</v>
      </c>
      <c r="AM9">
        <f>shock_delta!L9</f>
        <v>1.2664999999920833E-2</v>
      </c>
      <c r="AN9">
        <f>shock_delta!L19</f>
        <v>1.3957894736741442E-2</v>
      </c>
      <c r="AO9">
        <f>shock_delta!L29</f>
        <v>1.4898181814285269E-2</v>
      </c>
      <c r="AP9">
        <f>shock_delta!N9</f>
        <v>0.55521396836002124</v>
      </c>
      <c r="AQ9">
        <f>shock_delta!N19</f>
        <v>0.5557470477586659</v>
      </c>
      <c r="AR9">
        <f>shock_delta!N29</f>
        <v>0.55864663280345483</v>
      </c>
      <c r="AS9">
        <f>shock_delta!O9</f>
        <v>6.8329999999841684E-2</v>
      </c>
      <c r="AT9">
        <f>shock_delta!O19</f>
        <v>7.0915789473482899E-2</v>
      </c>
      <c r="AU9">
        <f>shock_delta!O29</f>
        <v>7.2796363628570546E-2</v>
      </c>
      <c r="AV9">
        <f>shock_delta!P9</f>
        <v>0.7457727540533059</v>
      </c>
      <c r="AW9">
        <f>shock_delta!P19</f>
        <v>0.74738454126501763</v>
      </c>
      <c r="AX9">
        <f>shock_delta!P29</f>
        <v>0.7562197406206137</v>
      </c>
    </row>
    <row r="10" spans="1:50" x14ac:dyDescent="0.3">
      <c r="C10" s="26" t="s">
        <v>46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8" t="s">
        <v>46</v>
      </c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 t="s">
        <v>46</v>
      </c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7" t="s">
        <v>46</v>
      </c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</row>
    <row r="11" spans="1:50" x14ac:dyDescent="0.3">
      <c r="C11">
        <f>100*(C3-$A$3)</f>
        <v>-0.10837499998506556</v>
      </c>
      <c r="D11">
        <f t="shared" ref="C11:E17" si="0">100*(D3-$A$3)</f>
        <v>-7.6052631571334184E-2</v>
      </c>
      <c r="E11">
        <f t="shared" si="0"/>
        <v>-5.2545454545265685E-2</v>
      </c>
      <c r="F11">
        <f>100*(F3-$A$4)</f>
        <v>-2.5505884023656833</v>
      </c>
      <c r="G11">
        <f t="shared" ref="F11:H17" si="1">100*(G3-$A$4)</f>
        <v>-2.5338244112433128</v>
      </c>
      <c r="H11">
        <f t="shared" si="1"/>
        <v>-2.4646313973036293</v>
      </c>
      <c r="I11">
        <f t="shared" ref="I11:K17" si="2">100*(I3-$A$5)</f>
        <v>-0.21674999997012973</v>
      </c>
      <c r="J11">
        <f t="shared" si="2"/>
        <v>-0.15210526314266698</v>
      </c>
      <c r="K11">
        <f t="shared" si="2"/>
        <v>-0.10509090909052998</v>
      </c>
      <c r="L11">
        <f t="shared" ref="L11:N17" si="3">LN(L3/1)</f>
        <v>-0.10757022432177427</v>
      </c>
      <c r="M11">
        <f t="shared" si="3"/>
        <v>-0.10687138714186434</v>
      </c>
      <c r="N11">
        <f t="shared" si="3"/>
        <v>-0.10398590899319894</v>
      </c>
      <c r="O11">
        <f>100*(O3-$A$3)</f>
        <v>-0.12892193306662941</v>
      </c>
      <c r="P11">
        <f t="shared" ref="O11:Q17" si="4">100*(P3-$A$3)</f>
        <v>-8.5629629620722139E-2</v>
      </c>
      <c r="Q11">
        <f t="shared" si="4"/>
        <v>-5.6945812807671775E-2</v>
      </c>
      <c r="R11">
        <f t="shared" ref="R11:T17" si="5">100*(R3-$A$4)</f>
        <v>-2.5751031172746464</v>
      </c>
      <c r="S11">
        <f t="shared" si="5"/>
        <v>-2.5774932049301702</v>
      </c>
      <c r="T11">
        <f t="shared" si="5"/>
        <v>-2.5049688972732853</v>
      </c>
      <c r="U11">
        <f t="shared" ref="U11:W17" si="6">100*(U3-$A$5)</f>
        <v>-0.19338289959994343</v>
      </c>
      <c r="V11">
        <f t="shared" si="6"/>
        <v>-0.12844444443108199</v>
      </c>
      <c r="W11">
        <f t="shared" si="6"/>
        <v>-8.5418719211506622E-2</v>
      </c>
      <c r="X11">
        <f t="shared" ref="X11:Z17" si="7">LN(X3/1)</f>
        <v>-0.10859198774594729</v>
      </c>
      <c r="Y11">
        <f t="shared" si="7"/>
        <v>-0.10869159442877867</v>
      </c>
      <c r="Z11">
        <f t="shared" si="7"/>
        <v>-0.10566826263001848</v>
      </c>
      <c r="AA11">
        <f t="shared" ref="AA11:AC17" si="8">100*(AA3-$A$3)</f>
        <v>-0.10837499998506556</v>
      </c>
      <c r="AB11">
        <f t="shared" si="8"/>
        <v>-7.6052631571334184E-2</v>
      </c>
      <c r="AC11">
        <f t="shared" si="8"/>
        <v>-5.2545454545265685E-2</v>
      </c>
      <c r="AD11">
        <f t="shared" ref="AD11:AF17" si="9">100*(AD3-$A$4)</f>
        <v>-2.5505884023656833</v>
      </c>
      <c r="AE11">
        <f t="shared" si="9"/>
        <v>-2.5338244112433128</v>
      </c>
      <c r="AF11">
        <f t="shared" si="9"/>
        <v>-2.4646313973036293</v>
      </c>
      <c r="AG11">
        <f t="shared" ref="AG11:AI17" si="10">100*(AG3-$A$5)</f>
        <v>-0.21674999997012973</v>
      </c>
      <c r="AH11">
        <f t="shared" si="10"/>
        <v>-0.15210526314266698</v>
      </c>
      <c r="AI11">
        <f t="shared" si="10"/>
        <v>-0.10509090909052998</v>
      </c>
      <c r="AJ11">
        <f t="shared" ref="AJ11:AL17" si="11">LN(AJ3/1)</f>
        <v>-0.16055257361458847</v>
      </c>
      <c r="AK11">
        <f t="shared" si="11"/>
        <v>-0.15950953304755866</v>
      </c>
      <c r="AL11">
        <f t="shared" si="11"/>
        <v>-0.15520284924358058</v>
      </c>
      <c r="AM11">
        <f t="shared" ref="AM11:AO17" si="12">100*(AM3-$A$3)</f>
        <v>-0.10837500004589121</v>
      </c>
      <c r="AN11">
        <f t="shared" si="12"/>
        <v>-7.6052631594062878E-2</v>
      </c>
      <c r="AO11">
        <f t="shared" si="12"/>
        <v>-5.2545454961821017E-2</v>
      </c>
      <c r="AP11">
        <f t="shared" ref="AP11:AR17" si="13">100*(AP3-$A$4)</f>
        <v>-1.7640946618776576</v>
      </c>
      <c r="AQ11">
        <f t="shared" si="13"/>
        <v>-1.7692251527000158</v>
      </c>
      <c r="AR11">
        <f t="shared" si="13"/>
        <v>-1.7162406575413791</v>
      </c>
      <c r="AS11">
        <f t="shared" ref="AS11:AU17" si="14">100*(AS3-$A$5)</f>
        <v>-0.21675000009178103</v>
      </c>
      <c r="AT11">
        <f t="shared" si="14"/>
        <v>-0.15210526318812506</v>
      </c>
      <c r="AU11">
        <f t="shared" si="14"/>
        <v>-0.10509090992363995</v>
      </c>
      <c r="AV11">
        <f t="shared" ref="AV11:AX17" si="15">LN(AV3/1)</f>
        <v>-7.4674785246580069E-2</v>
      </c>
      <c r="AW11">
        <f t="shared" si="15"/>
        <v>-7.489011335052756E-2</v>
      </c>
      <c r="AX11">
        <f t="shared" si="15"/>
        <v>-7.2665854836032467E-2</v>
      </c>
    </row>
    <row r="12" spans="1:50" x14ac:dyDescent="0.3">
      <c r="C12">
        <f t="shared" si="0"/>
        <v>-0.16256249998241548</v>
      </c>
      <c r="D12">
        <f t="shared" si="0"/>
        <v>-0.11407894735947603</v>
      </c>
      <c r="E12">
        <f t="shared" si="0"/>
        <v>-7.8818181817962712E-2</v>
      </c>
      <c r="F12">
        <f t="shared" si="1"/>
        <v>-3.8032625299608935</v>
      </c>
      <c r="G12">
        <f t="shared" si="1"/>
        <v>-3.7724675214990788</v>
      </c>
      <c r="H12">
        <f t="shared" si="1"/>
        <v>-3.662830606481926</v>
      </c>
      <c r="I12">
        <f t="shared" si="2"/>
        <v>-0.32512499996482924</v>
      </c>
      <c r="J12">
        <f t="shared" si="2"/>
        <v>-0.22815789471895137</v>
      </c>
      <c r="K12">
        <f t="shared" si="2"/>
        <v>-0.15763636363592404</v>
      </c>
      <c r="L12">
        <f t="shared" si="3"/>
        <v>-0.15952564636447947</v>
      </c>
      <c r="M12">
        <f t="shared" si="3"/>
        <v>-0.15825435786682657</v>
      </c>
      <c r="N12">
        <f t="shared" si="3"/>
        <v>-0.15372597026134779</v>
      </c>
      <c r="O12">
        <f t="shared" si="4"/>
        <v>-0.19338289960567442</v>
      </c>
      <c r="P12">
        <f t="shared" si="4"/>
        <v>-0.12844444443387004</v>
      </c>
      <c r="Q12">
        <f t="shared" si="4"/>
        <v>-8.5418719211577399E-2</v>
      </c>
      <c r="R12">
        <f t="shared" si="5"/>
        <v>-3.8340402843466848</v>
      </c>
      <c r="S12">
        <f t="shared" si="5"/>
        <v>-3.8343172221417032</v>
      </c>
      <c r="T12">
        <f t="shared" si="5"/>
        <v>-3.7209677205283564</v>
      </c>
      <c r="U12">
        <f t="shared" si="6"/>
        <v>-0.29007434940851035</v>
      </c>
      <c r="V12">
        <f t="shared" si="6"/>
        <v>-0.19266666665080506</v>
      </c>
      <c r="W12">
        <f t="shared" si="6"/>
        <v>-0.12812807881736471</v>
      </c>
      <c r="X12">
        <f t="shared" si="7"/>
        <v>-0.1607959385353076</v>
      </c>
      <c r="Y12">
        <f t="shared" si="7"/>
        <v>-0.16080736732052359</v>
      </c>
      <c r="Z12">
        <f t="shared" si="7"/>
        <v>-0.1561276898004694</v>
      </c>
      <c r="AA12">
        <f t="shared" si="8"/>
        <v>-0.16256249998241548</v>
      </c>
      <c r="AB12">
        <f t="shared" si="8"/>
        <v>-0.11407894735947603</v>
      </c>
      <c r="AC12">
        <f t="shared" si="8"/>
        <v>-7.8818181817962712E-2</v>
      </c>
      <c r="AD12">
        <f t="shared" si="9"/>
        <v>-3.8032625299608935</v>
      </c>
      <c r="AE12">
        <f t="shared" si="9"/>
        <v>-3.7724675214990788</v>
      </c>
      <c r="AF12">
        <f t="shared" si="9"/>
        <v>-3.662830606481926</v>
      </c>
      <c r="AG12">
        <f t="shared" si="10"/>
        <v>-0.32512499996482924</v>
      </c>
      <c r="AH12">
        <f t="shared" si="10"/>
        <v>-0.22815789471895137</v>
      </c>
      <c r="AI12">
        <f t="shared" si="10"/>
        <v>-0.15763636363592404</v>
      </c>
      <c r="AJ12">
        <f t="shared" si="11"/>
        <v>-0.23809797964847673</v>
      </c>
      <c r="AK12">
        <f t="shared" si="11"/>
        <v>-0.23620053412959177</v>
      </c>
      <c r="AL12">
        <f t="shared" si="11"/>
        <v>-0.22944174665872805</v>
      </c>
      <c r="AM12">
        <f t="shared" si="12"/>
        <v>-0.16256250003956196</v>
      </c>
      <c r="AN12">
        <f t="shared" si="12"/>
        <v>-0.11407894738269496</v>
      </c>
      <c r="AO12">
        <f t="shared" si="12"/>
        <v>-7.8818182230096234E-2</v>
      </c>
      <c r="AP12">
        <f t="shared" si="13"/>
        <v>-2.647527389057247</v>
      </c>
      <c r="AQ12">
        <f t="shared" si="13"/>
        <v>-2.6505926730469698</v>
      </c>
      <c r="AR12">
        <f t="shared" si="13"/>
        <v>-2.5661298484767947</v>
      </c>
      <c r="AS12">
        <f t="shared" si="14"/>
        <v>-0.32512500007912254</v>
      </c>
      <c r="AT12">
        <f t="shared" si="14"/>
        <v>-0.22815789476538922</v>
      </c>
      <c r="AU12">
        <f t="shared" si="14"/>
        <v>-0.15763636446019108</v>
      </c>
      <c r="AV12">
        <f t="shared" si="15"/>
        <v>-0.11160938201728718</v>
      </c>
      <c r="AW12">
        <f t="shared" si="15"/>
        <v>-0.11173705011660111</v>
      </c>
      <c r="AX12">
        <f t="shared" si="15"/>
        <v>-0.10821800983706034</v>
      </c>
    </row>
    <row r="13" spans="1:50" x14ac:dyDescent="0.3">
      <c r="C13">
        <f t="shared" si="0"/>
        <v>-0.21674999997976577</v>
      </c>
      <c r="D13">
        <f t="shared" si="0"/>
        <v>-0.15210526314761874</v>
      </c>
      <c r="E13">
        <f t="shared" si="0"/>
        <v>-0.10509090909065974</v>
      </c>
      <c r="F13">
        <f t="shared" si="1"/>
        <v>-5.0412111482766591</v>
      </c>
      <c r="G13">
        <f t="shared" si="1"/>
        <v>-4.992821121193991</v>
      </c>
      <c r="H13">
        <f t="shared" si="1"/>
        <v>-4.8391173771442748</v>
      </c>
      <c r="I13">
        <f t="shared" si="2"/>
        <v>-0.43349999995953015</v>
      </c>
      <c r="J13">
        <f t="shared" si="2"/>
        <v>-0.30421052629523576</v>
      </c>
      <c r="K13">
        <f t="shared" si="2"/>
        <v>-0.21018181818131809</v>
      </c>
      <c r="L13">
        <f t="shared" si="3"/>
        <v>-0.21040758461361242</v>
      </c>
      <c r="M13">
        <f t="shared" si="3"/>
        <v>-0.2084264151606334</v>
      </c>
      <c r="N13">
        <f t="shared" si="3"/>
        <v>-0.20212954210336925</v>
      </c>
      <c r="O13">
        <f t="shared" si="4"/>
        <v>-0.25784386614472016</v>
      </c>
      <c r="P13">
        <f t="shared" si="4"/>
        <v>-0.17125925924701846</v>
      </c>
      <c r="Q13">
        <f t="shared" si="4"/>
        <v>-0.11389162561548337</v>
      </c>
      <c r="R13">
        <f t="shared" si="5"/>
        <v>-5.0744622984306931</v>
      </c>
      <c r="S13">
        <f t="shared" si="5"/>
        <v>-5.0705566316348367</v>
      </c>
      <c r="T13">
        <f t="shared" si="5"/>
        <v>-4.9135784619688589</v>
      </c>
      <c r="U13">
        <f t="shared" si="6"/>
        <v>-0.38676579921708004</v>
      </c>
      <c r="V13">
        <f t="shared" si="6"/>
        <v>-0.25688888887052674</v>
      </c>
      <c r="W13">
        <f t="shared" si="6"/>
        <v>-0.17083743842322419</v>
      </c>
      <c r="X13">
        <f t="shared" si="7"/>
        <v>-0.21176859876983117</v>
      </c>
      <c r="Y13">
        <f t="shared" si="7"/>
        <v>-0.21160874906510718</v>
      </c>
      <c r="Z13">
        <f t="shared" si="7"/>
        <v>-0.20518079486652668</v>
      </c>
      <c r="AA13">
        <f t="shared" si="8"/>
        <v>-0.21674999997976577</v>
      </c>
      <c r="AB13">
        <f t="shared" si="8"/>
        <v>-0.15210526314761874</v>
      </c>
      <c r="AC13">
        <f t="shared" si="8"/>
        <v>-0.10509090909065974</v>
      </c>
      <c r="AD13">
        <f t="shared" si="9"/>
        <v>-5.0412111482766591</v>
      </c>
      <c r="AE13">
        <f t="shared" si="9"/>
        <v>-4.992821121193991</v>
      </c>
      <c r="AF13">
        <f t="shared" si="9"/>
        <v>-4.8391173771442748</v>
      </c>
      <c r="AG13">
        <f t="shared" si="10"/>
        <v>-0.43349999995953015</v>
      </c>
      <c r="AH13">
        <f t="shared" si="10"/>
        <v>-0.30421052629523576</v>
      </c>
      <c r="AI13">
        <f t="shared" si="10"/>
        <v>-0.21018181818131809</v>
      </c>
      <c r="AJ13">
        <f t="shared" si="11"/>
        <v>-0.31404117106509299</v>
      </c>
      <c r="AK13">
        <f t="shared" si="11"/>
        <v>-0.31108420173228846</v>
      </c>
      <c r="AL13">
        <f t="shared" si="11"/>
        <v>-0.30168588373637201</v>
      </c>
      <c r="AM13">
        <f t="shared" si="12"/>
        <v>-0.21675000003323308</v>
      </c>
      <c r="AN13">
        <f t="shared" si="12"/>
        <v>-0.15210526317132739</v>
      </c>
      <c r="AO13">
        <f t="shared" si="12"/>
        <v>-0.10509090949837215</v>
      </c>
      <c r="AP13">
        <f t="shared" si="13"/>
        <v>-3.5318856488236738</v>
      </c>
      <c r="AQ13">
        <f t="shared" si="13"/>
        <v>-3.5298073910670302</v>
      </c>
      <c r="AR13">
        <f t="shared" si="13"/>
        <v>-3.4106015712009441</v>
      </c>
      <c r="AS13">
        <f t="shared" si="14"/>
        <v>-0.43350000006646544</v>
      </c>
      <c r="AT13">
        <f t="shared" si="14"/>
        <v>-0.30421052634265339</v>
      </c>
      <c r="AU13">
        <f t="shared" si="14"/>
        <v>-0.21018181899674221</v>
      </c>
      <c r="AV13">
        <f t="shared" si="15"/>
        <v>-0.1483126746857111</v>
      </c>
      <c r="AW13">
        <f t="shared" si="15"/>
        <v>-0.14822671636223914</v>
      </c>
      <c r="AX13">
        <f t="shared" si="15"/>
        <v>-0.14329401851537582</v>
      </c>
    </row>
    <row r="14" spans="1:50" x14ac:dyDescent="0.3">
      <c r="C14">
        <f t="shared" si="0"/>
        <v>-0.27093749997711625</v>
      </c>
      <c r="D14">
        <f t="shared" si="0"/>
        <v>-0.19013157893576146</v>
      </c>
      <c r="E14">
        <f t="shared" si="0"/>
        <v>-0.13136363636335713</v>
      </c>
      <c r="F14">
        <f t="shared" si="1"/>
        <v>-6.2646923933563636</v>
      </c>
      <c r="G14">
        <f t="shared" si="1"/>
        <v>-6.1952873293970478</v>
      </c>
      <c r="H14">
        <f t="shared" si="1"/>
        <v>-5.9940873584732879</v>
      </c>
      <c r="I14">
        <f t="shared" si="2"/>
        <v>-0.54187499995423105</v>
      </c>
      <c r="J14">
        <f t="shared" si="2"/>
        <v>-0.38026315787152154</v>
      </c>
      <c r="K14">
        <f t="shared" si="2"/>
        <v>-0.26272727272671353</v>
      </c>
      <c r="L14">
        <f t="shared" si="3"/>
        <v>-0.26031292291797609</v>
      </c>
      <c r="M14">
        <f t="shared" si="3"/>
        <v>-0.25749091642059274</v>
      </c>
      <c r="N14">
        <f t="shared" si="3"/>
        <v>-0.2493043261466773</v>
      </c>
      <c r="O14">
        <f t="shared" si="4"/>
        <v>-0.3223048326837662</v>
      </c>
      <c r="P14">
        <f t="shared" si="4"/>
        <v>-0.21407407406016707</v>
      </c>
      <c r="Q14">
        <f t="shared" si="4"/>
        <v>-0.14236453201938898</v>
      </c>
      <c r="R14">
        <f t="shared" si="5"/>
        <v>-6.2967746306405115</v>
      </c>
      <c r="S14">
        <f t="shared" si="5"/>
        <v>-6.2867130362236239</v>
      </c>
      <c r="T14">
        <f t="shared" si="5"/>
        <v>-6.0834694512563736</v>
      </c>
      <c r="U14">
        <f t="shared" si="6"/>
        <v>-0.48345724902564835</v>
      </c>
      <c r="V14">
        <f t="shared" si="6"/>
        <v>-0.32111111109024981</v>
      </c>
      <c r="W14">
        <f t="shared" si="6"/>
        <v>-0.21354679802908366</v>
      </c>
      <c r="X14">
        <f t="shared" si="7"/>
        <v>-0.26161704350318649</v>
      </c>
      <c r="Y14">
        <f t="shared" si="7"/>
        <v>-0.26120806983001893</v>
      </c>
      <c r="Z14">
        <f t="shared" si="7"/>
        <v>-0.25294225549800042</v>
      </c>
      <c r="AA14">
        <f t="shared" si="8"/>
        <v>-0.27093749997711625</v>
      </c>
      <c r="AB14">
        <f t="shared" si="8"/>
        <v>-0.19013157893576146</v>
      </c>
      <c r="AC14">
        <f t="shared" si="8"/>
        <v>-0.13136363636335713</v>
      </c>
      <c r="AD14">
        <f t="shared" si="9"/>
        <v>-6.2646923933563636</v>
      </c>
      <c r="AE14">
        <f t="shared" si="9"/>
        <v>-6.1952873293970478</v>
      </c>
      <c r="AF14">
        <f t="shared" si="9"/>
        <v>-5.9940873584732879</v>
      </c>
      <c r="AG14">
        <f t="shared" si="10"/>
        <v>-0.54187499995423105</v>
      </c>
      <c r="AH14">
        <f t="shared" si="10"/>
        <v>-0.38026315787152154</v>
      </c>
      <c r="AI14">
        <f t="shared" si="10"/>
        <v>-0.26272727272671353</v>
      </c>
      <c r="AJ14">
        <f t="shared" si="11"/>
        <v>-0.38852675062384506</v>
      </c>
      <c r="AK14">
        <f t="shared" si="11"/>
        <v>-0.38431480062775047</v>
      </c>
      <c r="AL14">
        <f t="shared" si="11"/>
        <v>-0.37209600917414526</v>
      </c>
      <c r="AM14">
        <f t="shared" si="12"/>
        <v>-0.2709375000269042</v>
      </c>
      <c r="AN14">
        <f t="shared" si="12"/>
        <v>-0.19013157895995914</v>
      </c>
      <c r="AO14">
        <f t="shared" si="12"/>
        <v>-0.13136363676664736</v>
      </c>
      <c r="AP14">
        <f t="shared" si="13"/>
        <v>-4.4171708963972929</v>
      </c>
      <c r="AQ14">
        <f t="shared" si="13"/>
        <v>-4.4068771846962669</v>
      </c>
      <c r="AR14">
        <f t="shared" si="13"/>
        <v>-4.2497074601846929</v>
      </c>
      <c r="AS14">
        <f t="shared" si="14"/>
        <v>-0.54187500005380695</v>
      </c>
      <c r="AT14">
        <f t="shared" si="14"/>
        <v>-0.38026315791991755</v>
      </c>
      <c r="AU14">
        <f t="shared" si="14"/>
        <v>-0.26272727353329334</v>
      </c>
      <c r="AV14">
        <f t="shared" si="15"/>
        <v>-0.18481133723897822</v>
      </c>
      <c r="AW14">
        <f t="shared" si="15"/>
        <v>-0.18438824256314612</v>
      </c>
      <c r="AX14">
        <f t="shared" si="15"/>
        <v>-0.17792454625285745</v>
      </c>
    </row>
    <row r="15" spans="1:50" x14ac:dyDescent="0.3">
      <c r="C15">
        <f>100*(C7-$A$3)</f>
        <v>-0.32512499997446631</v>
      </c>
      <c r="D15">
        <f t="shared" si="0"/>
        <v>-0.22815789472390349</v>
      </c>
      <c r="E15">
        <f t="shared" si="0"/>
        <v>-0.15763636363605396</v>
      </c>
      <c r="F15">
        <f t="shared" si="1"/>
        <v>-7.4739584028438717</v>
      </c>
      <c r="G15">
        <f t="shared" si="1"/>
        <v>-7.3802565627823613</v>
      </c>
      <c r="H15">
        <f t="shared" si="1"/>
        <v>-7.1283148046814571</v>
      </c>
      <c r="I15">
        <f t="shared" si="2"/>
        <v>-0.65024999994893062</v>
      </c>
      <c r="J15">
        <f t="shared" si="2"/>
        <v>-0.45631578944780593</v>
      </c>
      <c r="K15">
        <f t="shared" si="2"/>
        <v>-0.3152727272721062</v>
      </c>
      <c r="L15">
        <f t="shared" si="3"/>
        <v>-0.30932998037093629</v>
      </c>
      <c r="M15">
        <f t="shared" si="3"/>
        <v>-0.30554135394722737</v>
      </c>
      <c r="N15">
        <f t="shared" si="3"/>
        <v>-0.29534713435112397</v>
      </c>
      <c r="O15">
        <f t="shared" si="4"/>
        <v>-0.38676579922281173</v>
      </c>
      <c r="P15">
        <f t="shared" si="4"/>
        <v>-0.25688888887331462</v>
      </c>
      <c r="Q15">
        <f t="shared" si="4"/>
        <v>-0.17083743842329463</v>
      </c>
      <c r="R15">
        <f t="shared" si="5"/>
        <v>-7.5013709984462889</v>
      </c>
      <c r="S15">
        <f t="shared" si="5"/>
        <v>-7.4832718727170011</v>
      </c>
      <c r="T15">
        <f t="shared" si="5"/>
        <v>-7.2312837943733665</v>
      </c>
      <c r="U15">
        <f t="shared" si="6"/>
        <v>-0.5801486988342166</v>
      </c>
      <c r="V15">
        <f t="shared" si="6"/>
        <v>-0.38533333330997149</v>
      </c>
      <c r="W15">
        <f t="shared" si="6"/>
        <v>-0.25625615763494175</v>
      </c>
      <c r="X15">
        <f t="shared" si="7"/>
        <v>-0.31043806860932505</v>
      </c>
      <c r="Y15">
        <f t="shared" si="7"/>
        <v>-0.3097064690730511</v>
      </c>
      <c r="Z15">
        <f t="shared" si="7"/>
        <v>-0.29951487236440277</v>
      </c>
      <c r="AA15">
        <f t="shared" si="8"/>
        <v>-0.32512499997446631</v>
      </c>
      <c r="AB15">
        <f t="shared" si="8"/>
        <v>-0.22815789472390349</v>
      </c>
      <c r="AC15">
        <f t="shared" si="8"/>
        <v>-0.15763636363605396</v>
      </c>
      <c r="AD15">
        <f t="shared" si="9"/>
        <v>-7.4739584028438717</v>
      </c>
      <c r="AE15">
        <f t="shared" si="9"/>
        <v>-7.3802565627823613</v>
      </c>
      <c r="AF15">
        <f t="shared" si="9"/>
        <v>-7.1283148046814571</v>
      </c>
      <c r="AG15">
        <f t="shared" si="10"/>
        <v>-0.65024999994893062</v>
      </c>
      <c r="AH15">
        <f t="shared" si="10"/>
        <v>-0.45631578944780593</v>
      </c>
      <c r="AI15">
        <f t="shared" si="10"/>
        <v>-0.3152727272721062</v>
      </c>
      <c r="AJ15">
        <f t="shared" si="11"/>
        <v>-0.46168653786706898</v>
      </c>
      <c r="AK15">
        <f t="shared" si="11"/>
        <v>-0.45603187156302577</v>
      </c>
      <c r="AL15">
        <f t="shared" si="11"/>
        <v>-0.44081661843451336</v>
      </c>
      <c r="AM15">
        <f t="shared" si="12"/>
        <v>-0.32512500002057493</v>
      </c>
      <c r="AN15">
        <f t="shared" si="12"/>
        <v>-0.22815789474859155</v>
      </c>
      <c r="AO15">
        <f t="shared" si="12"/>
        <v>-0.1576363640349224</v>
      </c>
      <c r="AP15">
        <f t="shared" si="13"/>
        <v>-5.303384590050797</v>
      </c>
      <c r="AQ15">
        <f t="shared" si="13"/>
        <v>-5.2818098934796502</v>
      </c>
      <c r="AR15">
        <f t="shared" si="13"/>
        <v>-5.0834984957987661</v>
      </c>
      <c r="AS15">
        <f t="shared" si="14"/>
        <v>-0.65025000004114841</v>
      </c>
      <c r="AT15">
        <f t="shared" si="14"/>
        <v>-0.45631578949718171</v>
      </c>
      <c r="AU15">
        <f t="shared" si="14"/>
        <v>-0.31527272806984308</v>
      </c>
      <c r="AV15">
        <f t="shared" si="15"/>
        <v>-0.22113120109596451</v>
      </c>
      <c r="AW15">
        <f t="shared" si="15"/>
        <v>-0.22024937813766837</v>
      </c>
      <c r="AX15">
        <f t="shared" si="15"/>
        <v>-0.21213841421885732</v>
      </c>
    </row>
    <row r="16" spans="1:50" x14ac:dyDescent="0.3">
      <c r="C16">
        <f t="shared" si="0"/>
        <v>-0.37931249997181643</v>
      </c>
      <c r="D16">
        <f t="shared" si="0"/>
        <v>-0.26618421051204533</v>
      </c>
      <c r="E16">
        <f t="shared" si="0"/>
        <v>-0.18390909090875152</v>
      </c>
      <c r="F16">
        <f t="shared" si="1"/>
        <v>-8.6692554892108475</v>
      </c>
      <c r="G16">
        <f t="shared" si="1"/>
        <v>-8.5481079582554909</v>
      </c>
      <c r="H16">
        <f t="shared" si="1"/>
        <v>-8.2423535270626953</v>
      </c>
      <c r="I16">
        <f t="shared" si="2"/>
        <v>-0.75862499994363142</v>
      </c>
      <c r="J16">
        <f t="shared" si="2"/>
        <v>-0.53236842102408888</v>
      </c>
      <c r="K16">
        <f t="shared" si="2"/>
        <v>-0.36781818181750164</v>
      </c>
      <c r="L16">
        <f t="shared" si="3"/>
        <v>-0.35753967769138317</v>
      </c>
      <c r="M16">
        <f t="shared" si="3"/>
        <v>-0.35266269667038186</v>
      </c>
      <c r="N16">
        <f t="shared" si="3"/>
        <v>-0.34034537140524773</v>
      </c>
      <c r="O16">
        <f t="shared" si="4"/>
        <v>-0.45122676576185711</v>
      </c>
      <c r="P16">
        <f t="shared" si="4"/>
        <v>-0.29970370368646254</v>
      </c>
      <c r="Q16">
        <f t="shared" si="4"/>
        <v>-0.19931034482720095</v>
      </c>
      <c r="R16">
        <f t="shared" si="5"/>
        <v>-8.6886337884980573</v>
      </c>
      <c r="S16">
        <f t="shared" si="5"/>
        <v>-8.6607030579751161</v>
      </c>
      <c r="T16">
        <f t="shared" si="5"/>
        <v>-8.3576405524707127</v>
      </c>
      <c r="U16">
        <f t="shared" si="6"/>
        <v>-0.67684014864278497</v>
      </c>
      <c r="V16">
        <f t="shared" si="6"/>
        <v>-0.44955555552969317</v>
      </c>
      <c r="W16">
        <f t="shared" si="6"/>
        <v>-0.29896551724079984</v>
      </c>
      <c r="X16">
        <f t="shared" si="7"/>
        <v>-0.35831960613143687</v>
      </c>
      <c r="Y16">
        <f t="shared" si="7"/>
        <v>-0.35719544836892186</v>
      </c>
      <c r="Z16">
        <f t="shared" si="7"/>
        <v>-0.34499121524957627</v>
      </c>
      <c r="AA16">
        <f t="shared" si="8"/>
        <v>-0.37931249997181643</v>
      </c>
      <c r="AB16">
        <f t="shared" si="8"/>
        <v>-0.26618421051204533</v>
      </c>
      <c r="AC16">
        <f t="shared" si="8"/>
        <v>-0.18390909090875152</v>
      </c>
      <c r="AD16">
        <f t="shared" si="9"/>
        <v>-8.6692554892108475</v>
      </c>
      <c r="AE16">
        <f t="shared" si="9"/>
        <v>-8.5481079582554909</v>
      </c>
      <c r="AF16">
        <f t="shared" si="9"/>
        <v>-8.2423535270626953</v>
      </c>
      <c r="AG16">
        <f t="shared" si="10"/>
        <v>-0.75862499994363142</v>
      </c>
      <c r="AH16">
        <f t="shared" si="10"/>
        <v>-0.53236842102408888</v>
      </c>
      <c r="AI16">
        <f t="shared" si="10"/>
        <v>-0.36781818181750164</v>
      </c>
      <c r="AJ16">
        <f t="shared" si="11"/>
        <v>-0.53364130998713899</v>
      </c>
      <c r="AK16">
        <f t="shared" si="11"/>
        <v>-0.52636223383639069</v>
      </c>
      <c r="AL16">
        <f t="shared" si="11"/>
        <v>-0.50797816627648895</v>
      </c>
      <c r="AM16">
        <f t="shared" si="12"/>
        <v>-0.37931250001424588</v>
      </c>
      <c r="AN16">
        <f t="shared" si="12"/>
        <v>-0.2661842105372238</v>
      </c>
      <c r="AO16">
        <f t="shared" si="12"/>
        <v>-0.1839090913031978</v>
      </c>
      <c r="AP16">
        <f t="shared" si="13"/>
        <v>-6.1905281911171839</v>
      </c>
      <c r="AQ16">
        <f t="shared" si="13"/>
        <v>-6.1546133188047358</v>
      </c>
      <c r="AR16">
        <f t="shared" si="13"/>
        <v>-5.9120250146386555</v>
      </c>
      <c r="AS16">
        <f t="shared" si="14"/>
        <v>-0.75862500002848998</v>
      </c>
      <c r="AT16">
        <f t="shared" si="14"/>
        <v>-0.53236842107444593</v>
      </c>
      <c r="AU16">
        <f t="shared" si="14"/>
        <v>-0.36781818260639421</v>
      </c>
      <c r="AV16">
        <f t="shared" si="15"/>
        <v>-0.2572973728393057</v>
      </c>
      <c r="AW16">
        <f t="shared" si="15"/>
        <v>-0.25583663964547182</v>
      </c>
      <c r="AX16">
        <f t="shared" si="15"/>
        <v>-0.24596277724822335</v>
      </c>
    </row>
    <row r="17" spans="3:50" x14ac:dyDescent="0.3">
      <c r="C17">
        <f t="shared" si="0"/>
        <v>-0.43349999996916688</v>
      </c>
      <c r="D17">
        <f t="shared" si="0"/>
        <v>-0.30421052630018786</v>
      </c>
      <c r="E17">
        <f t="shared" si="0"/>
        <v>-0.21018181818144888</v>
      </c>
      <c r="F17">
        <f t="shared" si="1"/>
        <v>-9.8508243070154382</v>
      </c>
      <c r="G17">
        <f t="shared" si="1"/>
        <v>-9.6992097773956232</v>
      </c>
      <c r="H17">
        <f t="shared" si="1"/>
        <v>-9.3367377956538711</v>
      </c>
      <c r="I17">
        <f t="shared" si="2"/>
        <v>-0.86699999993833243</v>
      </c>
      <c r="J17">
        <f t="shared" si="2"/>
        <v>-0.60842105260037471</v>
      </c>
      <c r="K17">
        <f t="shared" si="2"/>
        <v>-0.4203636363628957</v>
      </c>
      <c r="L17">
        <f t="shared" si="3"/>
        <v>-0.4050165275634654</v>
      </c>
      <c r="M17">
        <f t="shared" si="3"/>
        <v>-0.39893252021907383</v>
      </c>
      <c r="N17">
        <f t="shared" si="3"/>
        <v>-0.38437827659801227</v>
      </c>
      <c r="O17">
        <f>100*(O9-$A$3)</f>
        <v>-0.51568773230090315</v>
      </c>
      <c r="P17">
        <f t="shared" si="4"/>
        <v>-0.34251851849961112</v>
      </c>
      <c r="Q17">
        <f t="shared" si="4"/>
        <v>-0.22778325123110654</v>
      </c>
      <c r="R17">
        <f t="shared" si="5"/>
        <v>-9.8589344613270065</v>
      </c>
      <c r="S17">
        <f t="shared" si="5"/>
        <v>-9.8194616042284082</v>
      </c>
      <c r="T17">
        <f t="shared" si="5"/>
        <v>-9.4631358552142668</v>
      </c>
      <c r="U17">
        <f t="shared" si="6"/>
        <v>-0.77353159845135333</v>
      </c>
      <c r="V17">
        <f t="shared" si="6"/>
        <v>-0.51377777774941624</v>
      </c>
      <c r="W17">
        <f t="shared" si="6"/>
        <v>-0.34167487684665931</v>
      </c>
      <c r="X17">
        <f t="shared" si="7"/>
        <v>-0.40534191454244684</v>
      </c>
      <c r="Y17">
        <f t="shared" si="7"/>
        <v>-0.4037581716424658</v>
      </c>
      <c r="Z17">
        <f t="shared" si="7"/>
        <v>-0.38945499679549023</v>
      </c>
      <c r="AA17">
        <f t="shared" si="8"/>
        <v>-0.43349999996916688</v>
      </c>
      <c r="AB17">
        <f t="shared" si="8"/>
        <v>-0.30421052630018786</v>
      </c>
      <c r="AC17">
        <f t="shared" si="8"/>
        <v>-0.21018181818144888</v>
      </c>
      <c r="AD17">
        <f t="shared" si="9"/>
        <v>-9.8508243070154382</v>
      </c>
      <c r="AE17">
        <f t="shared" si="9"/>
        <v>-9.6992097773956232</v>
      </c>
      <c r="AF17">
        <f t="shared" si="9"/>
        <v>-9.3367377956538711</v>
      </c>
      <c r="AG17">
        <f t="shared" si="10"/>
        <v>-0.86699999993833243</v>
      </c>
      <c r="AH17">
        <f t="shared" si="10"/>
        <v>-0.60842105260037471</v>
      </c>
      <c r="AI17">
        <f t="shared" si="10"/>
        <v>-0.4203636363628957</v>
      </c>
      <c r="AJ17">
        <f t="shared" si="11"/>
        <v>-0.60450227994547057</v>
      </c>
      <c r="AK17">
        <f t="shared" si="11"/>
        <v>-0.59542167196876683</v>
      </c>
      <c r="AL17">
        <f t="shared" si="11"/>
        <v>-0.57369892029554059</v>
      </c>
      <c r="AM17">
        <f t="shared" si="12"/>
        <v>-0.43350000000791677</v>
      </c>
      <c r="AN17">
        <f t="shared" si="12"/>
        <v>-0.30421052632585588</v>
      </c>
      <c r="AO17">
        <f t="shared" si="12"/>
        <v>-0.21018181857147319</v>
      </c>
      <c r="AP17">
        <f t="shared" si="13"/>
        <v>-7.0786031639978759</v>
      </c>
      <c r="AQ17">
        <f t="shared" si="13"/>
        <v>-7.0252952241334103</v>
      </c>
      <c r="AR17">
        <f t="shared" si="13"/>
        <v>-6.7353367196545166</v>
      </c>
      <c r="AS17">
        <f t="shared" si="14"/>
        <v>-0.86700000001583155</v>
      </c>
      <c r="AT17">
        <f t="shared" si="14"/>
        <v>-0.60842105265170998</v>
      </c>
      <c r="AU17">
        <f t="shared" si="14"/>
        <v>-0.42036363714294533</v>
      </c>
      <c r="AV17">
        <f t="shared" si="15"/>
        <v>-0.29333434441573203</v>
      </c>
      <c r="AW17">
        <f t="shared" si="15"/>
        <v>-0.29117544549357638</v>
      </c>
      <c r="AX17">
        <f t="shared" si="15"/>
        <v>-0.27942328284009765</v>
      </c>
    </row>
  </sheetData>
  <mergeCells count="8">
    <mergeCell ref="C1:N1"/>
    <mergeCell ref="AM1:AX1"/>
    <mergeCell ref="O1:Z1"/>
    <mergeCell ref="AA1:AL1"/>
    <mergeCell ref="C10:N10"/>
    <mergeCell ref="AM10:AX10"/>
    <mergeCell ref="O10:Z10"/>
    <mergeCell ref="AA10:A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shock_L</vt:lpstr>
      <vt:lpstr>shock_L_theta</vt:lpstr>
      <vt:lpstr>shock_L_psi</vt:lpstr>
      <vt:lpstr>shock_delta</vt:lpstr>
      <vt:lpstr>MATLAB_data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Seda Basihos</cp:lastModifiedBy>
  <dcterms:created xsi:type="dcterms:W3CDTF">2020-11-22T15:16:37Z</dcterms:created>
  <dcterms:modified xsi:type="dcterms:W3CDTF">2025-09-05T20:40:59Z</dcterms:modified>
</cp:coreProperties>
</file>